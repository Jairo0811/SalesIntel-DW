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drawings/charts/chart4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b65a4344f94d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62198d8f4dc4f23"/>
    <x:sheet xmlns:r="http://schemas.openxmlformats.org/officeDocument/2006/relationships" name="Ventas por Ciudad" sheetId="2" r:id="R3f75d59d3178498c"/>
    <x:sheet xmlns:r="http://schemas.openxmlformats.org/officeDocument/2006/relationships" name="Producto por Año" sheetId="3" r:id="R773fc2af786d496c"/>
    <x:sheet xmlns:r="http://schemas.openxmlformats.org/officeDocument/2006/relationships" name="Ultimos 3 Meses" sheetId="4" r:id="R6a6437ed0c594cf1"/>
    <x:sheet xmlns:r="http://schemas.openxmlformats.org/officeDocument/2006/relationships" name="Datos DW" sheetId="5" r:id="Rbdb2f357ac8b41d7"/>
    <x:sheet xmlns:r="http://schemas.openxmlformats.org/officeDocument/2006/relationships" name="SQL Consultas" sheetId="6" r:id="R713b1b9b419f418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&quot;RD$&quot;#,##0.00"/>
    <x:numFmt numFmtId="202" formatCode="#,##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1"/>
      <x:color rgb="FFFFFFFF"/>
      <x:name val="Calibri"/>
    </x:font>
    <x:font>
      <x:sz val="11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</x:fills>
  <x:borders count="2">
    <x:border/>
    <x:border/>
  </x:borders>
  <x:cellStyleXfs count="1">
    <x:xf numFmtId="0" fontId="0" fillId="0" borderId="0"/>
  </x:cellStyleXfs>
  <x:cellXfs count="5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0"/>
    </x:xf>
    <x:xf numFmtId="0" fontId="0" fillId="0" borderId="0" xfId="0" applyNumberFormat="1" applyFont="1" applyFill="1" applyBorder="1" applyAlignment="1">
      <x:alignment vertical="center" wrapText="0"/>
    </x:xf>
    <x:xf numFmtId="0" fontId="0" fillId="0" borderId="1" xfId="0" applyNumberFormat="1" applyFont="1" applyFill="1" applyBorder="1" applyAlignment="1">
      <x:alignment wrapText="0"/>
    </x:xf>
    <x:xf numFmtId="0" fontId="0" fillId="0" borderId="1" xfId="0" applyNumberFormat="1" applyFont="1" applyFill="1" applyBorder="1" applyAlignment="1">
      <x:alignment vertical="center" wrapText="0"/>
    </x:xf>
    <x:xf numFmtId="201" fontId="0" fillId="0" borderId="0" xfId="0" applyNumberFormat="1" applyFont="1" applyFill="1" applyBorder="1" applyAlignment="1">
      <x:alignment vertical="center" wrapText="0"/>
    </x:xf>
    <x:xf numFmtId="201" fontId="0" fillId="0" borderId="1" xfId="0" applyNumberFormat="1" applyFont="1" applyFill="1" applyBorder="1" applyAlignment="1">
      <x:alignment vertical="center" wrapText="0"/>
    </x:xf>
    <x:xf numFmtId="202" fontId="0" fillId="0" borderId="0" xfId="0" applyNumberFormat="1" applyFont="1" applyFill="1" applyBorder="1" applyAlignment="1">
      <x:alignment vertical="center" wrapText="0"/>
    </x:xf>
    <x:xf numFmtId="202" fontId="0" fillId="0" borderId="1" xfId="0" applyNumberFormat="1" applyFont="1" applyFill="1" applyBorder="1" applyAlignment="1">
      <x:alignment vertical="center" wrapText="0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0" fontId="4" fillId="2" borderId="1" xfId="0" applyNumberFormat="1" applyFont="1" applyFill="1" applyBorder="1" applyAlignment="1">
      <x:alignment horizontal="center" vertical="center"/>
    </x:xf>
    <x:xf numFmtId="0" fontId="5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eb5a8fe3194938" /><Relationship Type="http://schemas.openxmlformats.org/officeDocument/2006/relationships/theme" Target="/xl/theme/theme1.xml" Id="R1ed939aeba8e4083" /><Relationship Type="http://schemas.openxmlformats.org/officeDocument/2006/relationships/sharedStrings" Target="/xl/sharedStrings.xml" Id="R66587ce1b60b4c3b" /><Relationship Type="http://schemas.openxmlformats.org/officeDocument/2006/relationships/worksheet" Target="/xl/worksheets/sheet1.xml" Id="Rd62198d8f4dc4f23" /><Relationship Type="http://schemas.openxmlformats.org/officeDocument/2006/relationships/worksheet" Target="/xl/worksheets/sheet2.xml" Id="R3f75d59d3178498c" /><Relationship Type="http://schemas.openxmlformats.org/officeDocument/2006/relationships/worksheet" Target="/xl/worksheets/sheet3.xml" Id="R773fc2af786d496c" /><Relationship Type="http://schemas.openxmlformats.org/officeDocument/2006/relationships/worksheet" Target="/xl/worksheets/sheet4.xml" Id="R6a6437ed0c594cf1" /><Relationship Type="http://schemas.openxmlformats.org/officeDocument/2006/relationships/worksheet" Target="/xl/worksheets/sheet5.xml" Id="Rbdb2f357ac8b41d7" /><Relationship Type="http://schemas.openxmlformats.org/officeDocument/2006/relationships/worksheet" Target="/xl/worksheets/sheet6.xml" Id="R713b1b9b419f418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c3da3cb7a674695" /><Relationship Type="http://schemas.openxmlformats.org/officeDocument/2006/relationships/chart" Target="/xl/drawings/charts/chart2.xml" Id="Re27e5903566f4786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c6e5cc3e34ed4252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c3070df6d107414e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layout/>
      <c:barChart>
        <c:barDir val="bar"/>
        <c:grouping val="clustered"/>
        <c:varyColors val="0"/>
        <c:ser>
          <c:idx val="0"/>
          <c:order val="0"/>
          <c:tx>
            <c:v>TotalVendido</c:v>
          </c:tx>
          <c:cat>
            <c:strRef>
              <c:f>'Ventas por Ciudad'!$A$5:$A$12</c:f>
              <c:strCache>
                <c:ptCount val="0"/>
              </c:strCache>
            </c:strRef>
          </c:cat>
          <c:val>
            <c:numRef>
              <c:f>'Ventas por Ciudad'!$B$5:$B$12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'Producto por Año'!$E$4:$E$12</c:f>
              <c:strCache>
                <c:ptCount val="0"/>
              </c:strCache>
            </c:strRef>
          </c:cat>
          <c:val>
            <c:numRef>
              <c:f>'Producto por Año'!$F$4:$F$12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Series 2</c:v>
          </c:tx>
          <c:cat>
            <c:strRef>
              <c:f>'Producto por Año'!$E$4:$E$12</c:f>
              <c:strCache>
                <c:ptCount val="0"/>
              </c:strCache>
            </c:strRef>
          </c:cat>
          <c:val>
            <c:numRef>
              <c:f>'Producto por Año'!$G$4:$G$12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Series 3</c:v>
          </c:tx>
          <c:cat>
            <c:strRef>
              <c:f>'Producto por Año'!$E$4:$E$12</c:f>
              <c:strCache>
                <c:ptCount val="0"/>
              </c:strCache>
            </c:strRef>
          </c:cat>
          <c:val>
            <c:numRef>
              <c:f>'Producto por Año'!$H$4:$H$12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plotArea>
      <c:layout/>
      <c:barChart>
        <c:barDir val="bar"/>
        <c:grouping val="clustered"/>
        <c:varyColors val="0"/>
        <c:ser>
          <c:idx val="0"/>
          <c:order val="0"/>
          <c:tx>
            <c:v>TotalVendido</c:v>
          </c:tx>
          <c:cat>
            <c:strRef>
              <c:f>'Ventas por Ciudad'!$A$5:$A$12</c:f>
              <c:strCache>
                <c:ptCount val="0"/>
              </c:strCache>
            </c:strRef>
          </c:cat>
          <c:val>
            <c:numRef>
              <c:f>'Ventas por Ciudad'!$B$5:$B$12</c:f>
              <c:numCache>
                <c:formatCode>"RD$"#,##0.00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&quot;RD$&quot;#,##0.00" sourceLinked="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'Producto por Año'!$E$4:$E$12</c:f>
              <c:strCache>
                <c:ptCount val="0"/>
              </c:strCache>
            </c:strRef>
          </c:cat>
          <c:val>
            <c:numRef>
              <c:f>'Producto por Año'!$F$4:$F$12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Series 2</c:v>
          </c:tx>
          <c:cat>
            <c:strRef>
              <c:f>'Producto por Año'!$E$4:$E$12</c:f>
              <c:strCache>
                <c:ptCount val="0"/>
              </c:strCache>
            </c:strRef>
          </c:cat>
          <c:val>
            <c:numRef>
              <c:f>'Producto por Año'!$G$4:$G$12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Series 3</c:v>
          </c:tx>
          <c:cat>
            <c:strRef>
              <c:f>'Producto por Año'!$E$4:$E$12</c:f>
              <c:strCache>
                <c:ptCount val="0"/>
              </c:strCache>
            </c:strRef>
          </c:cat>
          <c:val>
            <c:numRef>
              <c:f>'Producto por Año'!$H$4:$H$12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13</xdr:row>
      <xdr:rowOff>0</xdr:rowOff>
    </xdr:from>
    <xdr:to>
      <xdr:col>8</xdr:col>
      <xdr:colOff>0</xdr:colOff>
      <xdr:row>30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c3da3cb7a674695"/>
        </a:graphicData>
      </a:graphic>
    </xdr:graphicFrame>
    <xdr:clientData/>
  </xdr:twoCellAnchor>
  <xdr:twoCellAnchor>
    <xdr:from>
      <xdr:col>9</xdr:col>
      <xdr:colOff>0</xdr:colOff>
      <xdr:row>3</xdr:row>
      <xdr:rowOff>0</xdr:rowOff>
    </xdr:from>
    <xdr:to>
      <xdr:col>18</xdr:col>
      <xdr:colOff>0</xdr:colOff>
      <xdr:row>22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27e5903566f478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3</xdr:col>
      <xdr:colOff>0</xdr:colOff>
      <xdr:row>3</xdr:row>
      <xdr:rowOff>0</xdr:rowOff>
    </xdr:from>
    <xdr:to>
      <xdr:col>12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6e5cc3e34ed425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9</xdr:col>
      <xdr:colOff>0</xdr:colOff>
      <xdr:row>3</xdr:row>
      <xdr:rowOff>0</xdr:rowOff>
    </xdr:from>
    <xdr:to>
      <xdr:col>18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070df6d107414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2" name="VentasCiudadTable" displayName="VentasCiudadTable" ref="A4:B12" headerRowCount="1">
  <x:tableColumns count="2">
    <x:tableColumn id="1" name="NombreCiudad"/>
    <x:tableColumn id="2" name="TotalVendido"/>
  </x:tableColumns>
  <x:tableStyleInfo name="TableStyleMedium2" showRowStripes="1"/>
</x:table>
</file>

<file path=xl/tables/table2.xml><?xml version="1.0" encoding="utf-8"?>
<x:table xmlns:x="http://schemas.openxmlformats.org/spreadsheetml/2006/main" id="3" name="ProductoAnioTable" displayName="ProductoAnioTable" ref="A4:C28" headerRowCount="1">
  <x:tableColumns count="3">
    <x:tableColumn id="1" name="Anio"/>
    <x:tableColumn id="2" name="NombreProducto"/>
    <x:tableColumn id="3" name="TotalVendido"/>
  </x:tableColumns>
  <x:tableStyleInfo name="TableStyleMedium2" showRowStripes="1"/>
</x:table>
</file>

<file path=xl/tables/table3.xml><?xml version="1.0" encoding="utf-8"?>
<x:table xmlns:x="http://schemas.openxmlformats.org/spreadsheetml/2006/main" id="4" name="PivotProductoAnioTable" displayName="PivotProductoAnioTable" ref="E4:H12" headerRowCount="1">
  <x:tableColumns count="4">
    <x:tableColumn id="1" name="Producto"/>
    <x:tableColumn id="2" name="2024"/>
    <x:tableColumn id="3" name="2025"/>
    <x:tableColumn id="4" name="2026"/>
  </x:tableColumns>
  <x:tableStyleInfo name="TableStyleMedium2" showRowStripes="1"/>
</x:table>
</file>

<file path=xl/tables/table4.xml><?xml version="1.0" encoding="utf-8"?>
<x:table xmlns:x="http://schemas.openxmlformats.org/spreadsheetml/2006/main" id="5" name="Ultimos3MesesTable" displayName="Ultimos3MesesTable" ref="A4:E29" headerRowCount="1">
  <x:tableColumns count="5">
    <x:tableColumn id="1" name="Ciudad"/>
    <x:tableColumn id="2" name="Producto"/>
    <x:tableColumn id="3" name="CantidadVendida"/>
    <x:tableColumn id="4" name="TotalVendido"/>
    <x:tableColumn id="5" name="NivelReporte"/>
  </x:tableColumns>
  <x:tableStyleInfo name="TableStyleMedium2" showRowStripes="1"/>
</x:table>
</file>

<file path=xl/tables/table5.xml><?xml version="1.0" encoding="utf-8"?>
<x:table xmlns:x="http://schemas.openxmlformats.org/spreadsheetml/2006/main" id="1" name="DatosDWTable" displayName="DatosDWTable" ref="A4:P48" headerRowCount="1">
  <x:tableColumns count="16">
    <x:tableColumn id="1" name="NumeroFactura"/>
    <x:tableColumn id="2" name="Fecha"/>
    <x:tableColumn id="3" name="Anio"/>
    <x:tableColumn id="4" name="Mes"/>
    <x:tableColumn id="5" name="NombreCiudad"/>
    <x:tableColumn id="6" name="Provincia"/>
    <x:tableColumn id="7" name="Region"/>
    <x:tableColumn id="8" name="NombreCliente"/>
    <x:tableColumn id="9" name="TipoCliente"/>
    <x:tableColumn id="10" name="IdProducto"/>
    <x:tableColumn id="11" name="NombreProducto"/>
    <x:tableColumn id="12" name="Categoria"/>
    <x:tableColumn id="13" name="Cantidad"/>
    <x:tableColumn id="14" name="PrecioUnitario"/>
    <x:tableColumn id="15" name="Descuento"/>
    <x:tableColumn id="16" name="TotalVenta"/>
  </x:tableColumns>
  <x:tableStyleInfo name="TableStyleMedium2" showRowStripes="1"/>
</x:table>
</file>

<file path=xl/tables/table6.xml><?xml version="1.0" encoding="utf-8"?>
<x:table xmlns:x="http://schemas.openxmlformats.org/spreadsheetml/2006/main" id="6" name="SQLConsultasTable" displayName="SQLConsultasTable" ref="A4:C8" headerRowCount="1">
  <x:tableColumns count="3">
    <x:tableColumn id="1" name="Objeto"/>
    <x:tableColumn id="2" name="Uso"/>
    <x:tableColumn id="3" name="Consulta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3262f42c18142d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9a259f89f1e9431c" /><Relationship Type="http://schemas.openxmlformats.org/officeDocument/2006/relationships/table" Target="/xl/tables/table1.xml" Id="R44e1ea46e1e44e1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2975557459d44932" /><Relationship Type="http://schemas.openxmlformats.org/officeDocument/2006/relationships/table" Target="/xl/tables/table2.xml" Id="R39b3c7136f1d40af" /><Relationship Type="http://schemas.openxmlformats.org/officeDocument/2006/relationships/table" Target="/xl/tables/table3.xml" Id="Rfa632e08abe54af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ef297fe0e45450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2655e27316f04d4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c5737de0abce439e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2" hidden="0" customWidth="1"/>
    <x:col min="4" max="4" width="20.25" hidden="0" customWidth="1"/>
    <x:col min="5" max="5" width="11" hidden="0" customWidth="1"/>
  </x:cols>
  <x:sheetData>
    <x:row r="1" ht="34" customHeight="1">
      <x:c r="A1" s="50" t="str">
        <x:v>SalesIntel DW</x:v>
      </x:c>
      <x:c r="B1" s="51"/>
      <x:c r="C1" s="51"/>
      <x:c r="D1" s="51"/>
      <x:c r="E1" s="51"/>
      <x:c r="F1" s="51"/>
      <x:c r="G1" s="51"/>
      <x:c r="H1" s="51"/>
      <x:c r="I1" s="51"/>
      <x:c r="J1" s="51"/>
      <x:c r="K1" s="51"/>
      <x:c r="L1" s="51"/>
      <x:c r="M1" s="51"/>
      <x:c r="N1" s="51"/>
      <x:c r="O1" s="51"/>
      <x:c r="P1" s="51"/>
      <x:c r="Q1" s="51"/>
      <x:c r="R1" s="51"/>
      <x:c r="S1" s="51"/>
      <x:c r="T1" s="51"/>
      <x:c r="U1" s="51"/>
      <x:c r="V1" s="51"/>
      <x:c r="W1" s="51"/>
      <x:c r="X1" s="51"/>
      <x:c r="Y1" s="51"/>
      <x:c r="Z1" s="51"/>
    </x:row>
    <x:row r="2" ht="24" customHeight="1">
      <x:c r="A2" s="13" t="str">
        <x:v>Dashboard ejecutivo de ventas nacionales</x:v>
      </x:c>
    </x:row>
    <x:row r="4">
      <x:c r="A4" s="19" t="str">
        <x:v>Indicadores Generales</x:v>
      </x:c>
      <x:c r="D4" s="19" t="str">
        <x:v>Top 5 ciudades por ventas</x:v>
      </x:c>
    </x:row>
    <x:row r="5">
      <x:c r="A5" s="46" t="str">
        <x:v>Métrica</x:v>
      </x:c>
      <x:c r="B5" s="46" t="str">
        <x:v>Valor</x:v>
      </x:c>
      <x:c r="D5" s="46" t="str">
        <x:v>Ciudad</x:v>
      </x:c>
      <x:c r="E5" s="46" t="str">
        <x:v>TotalVendido</x:v>
      </x:c>
    </x:row>
    <x:row r="6">
      <x:c r="A6" t="str">
        <x:v>Total vendido</x:v>
      </x:c>
      <x:c r="B6" s="24" t="n">
        <x:f>SUM('Ventas por Ciudad'!B5:B12)</x:f>
        <x:v>222995</x:v>
      </x:c>
      <x:c r="D6" t="str">
        <x:v>Santo Domingo</x:v>
      </x:c>
      <x:c r="E6" s="24" t="n">
        <x:v>40950</x:v>
      </x:c>
    </x:row>
    <x:row r="7">
      <x:c r="A7" t="str">
        <x:v>Ciudades con ventas</x:v>
      </x:c>
      <x:c r="B7" t="n">
        <x:f>COUNTA('Ventas por Ciudad'!A5:A12)</x:f>
        <x:v>8</x:v>
      </x:c>
      <x:c r="D7" t="str">
        <x:v>Santiago</x:v>
      </x:c>
      <x:c r="E7" s="24" t="n">
        <x:v>37475</x:v>
      </x:c>
    </x:row>
    <x:row r="8">
      <x:c r="A8" t="str">
        <x:v>Productos vendidos</x:v>
      </x:c>
      <x:c r="B8" t="n">
        <x:f>COUNTA('Producto por Año'!E5:E12)</x:f>
        <x:v>8</x:v>
      </x:c>
      <x:c r="D8" t="str">
        <x:v>Puerto Plata</x:v>
      </x:c>
      <x:c r="E8" s="24" t="n">
        <x:v>32650</x:v>
      </x:c>
    </x:row>
    <x:row r="9">
      <x:c r="A9" t="str">
        <x:v>Ventas últimos 3 meses</x:v>
      </x:c>
      <x:c r="B9" s="24" t="n">
        <x:f>'Ultimos 3 Meses'!D29</x:f>
        <x:v>83230</x:v>
      </x:c>
      <x:c r="D9" t="str">
        <x:v>La Romana</x:v>
      </x:c>
      <x:c r="E9" s="24" t="n">
        <x:v>31950</x:v>
      </x:c>
    </x:row>
    <x:row r="10">
      <x:c r="D10" t="str">
        <x:v>Higüey</x:v>
      </x:c>
      <x:c r="E10" s="24" t="n">
        <x:v>25450</x:v>
      </x:c>
    </x:row>
    <x:row r="12">
      <x:c r="A12" s="19" t="str">
        <x:v>Gráficos principales</x:v>
      </x:c>
    </x:row>
  </x:sheetData>
  <x:mergeCells>
    <x:mergeCell ref="A1:H1"/>
    <x:mergeCell ref="A2:H2"/>
    <x:mergeCell ref="A4:B4"/>
    <x:mergeCell ref="D4:E4"/>
    <x:mergeCell ref="A12:H12"/>
  </x:mergeCells>
  <x:pageMargins left="0.7" right="0.7" top="0.75" bottom="0.75" header="0.3" footer="0.3"/>
  <x:drawing xmlns:r="http://schemas.openxmlformats.org/officeDocument/2006/relationships" r:id="R53262f42c18142d6"/>
</x:worksheet>
</file>

<file path=xl/worksheets/sheet2.xml><?xml version="1.0" encoding="utf-8"?>
<x:worksheet xmlns:x="http://schemas.openxmlformats.org/spreadsheetml/2006/main">
  <x:sheetFormatPr defaultRowHeight="15"/>
  <x:cols>
    <x:col min="1" max="1" width="23.25" hidden="0" customWidth="1"/>
    <x:col min="2" max="2" width="13" hidden="0" customWidth="1"/>
  </x:cols>
  <x:sheetData>
    <x:row r="1" ht="34" customHeight="1">
      <x:c r="A1" s="50" t="str">
        <x:v>Ventas por Ciudad</x:v>
      </x:c>
      <x:c r="B1" s="51"/>
      <x:c r="C1" s="51"/>
      <x:c r="D1" s="51"/>
      <x:c r="E1" s="51"/>
      <x:c r="F1" s="51"/>
      <x:c r="G1" s="51"/>
      <x:c r="H1" s="51"/>
      <x:c r="I1" s="51"/>
      <x:c r="J1" s="51"/>
      <x:c r="K1" s="51"/>
      <x:c r="L1" s="51"/>
      <x:c r="M1" s="51"/>
      <x:c r="N1" s="51"/>
      <x:c r="O1" s="51"/>
      <x:c r="P1" s="51"/>
      <x:c r="Q1" s="51"/>
      <x:c r="R1" s="51"/>
      <x:c r="S1" s="51"/>
      <x:c r="T1" s="51"/>
      <x:c r="U1" s="51"/>
      <x:c r="V1" s="51"/>
      <x:c r="W1" s="51"/>
      <x:c r="X1" s="51"/>
      <x:c r="Y1" s="51"/>
      <x:c r="Z1" s="51"/>
    </x:row>
    <x:row r="2" ht="24" customHeight="1">
      <x:c r="A2" s="13" t="str">
        <x:v>Fuente: vw_VentasPorCiudad</x:v>
      </x:c>
    </x:row>
    <x:row r="4">
      <x:c r="A4" s="30" t="str">
        <x:v>NombreCiudad</x:v>
      </x:c>
      <x:c r="B4" s="30" t="str">
        <x:v>TotalVendido</x:v>
      </x:c>
    </x:row>
    <x:row r="5">
      <x:c r="A5" s="35" t="str">
        <x:v>Santo Domingo</x:v>
      </x:c>
      <x:c r="B5" s="38" t="n">
        <x:v>40950</x:v>
      </x:c>
    </x:row>
    <x:row r="6">
      <x:c r="A6" s="35" t="str">
        <x:v>Santiago</x:v>
      </x:c>
      <x:c r="B6" s="38" t="n">
        <x:v>37475</x:v>
      </x:c>
    </x:row>
    <x:row r="7">
      <x:c r="A7" s="35" t="str">
        <x:v>Puerto Plata</x:v>
      </x:c>
      <x:c r="B7" s="38" t="n">
        <x:v>32650</x:v>
      </x:c>
    </x:row>
    <x:row r="8">
      <x:c r="A8" s="35" t="str">
        <x:v>La Romana</x:v>
      </x:c>
      <x:c r="B8" s="38" t="n">
        <x:v>31950</x:v>
      </x:c>
    </x:row>
    <x:row r="9">
      <x:c r="A9" s="35" t="str">
        <x:v>Higüey</x:v>
      </x:c>
      <x:c r="B9" s="38" t="n">
        <x:v>25450</x:v>
      </x:c>
    </x:row>
    <x:row r="10">
      <x:c r="A10" s="35" t="str">
        <x:v>San Pedro de Macorís</x:v>
      </x:c>
      <x:c r="B10" s="38" t="n">
        <x:v>19050</x:v>
      </x:c>
    </x:row>
    <x:row r="11">
      <x:c r="A11" s="35" t="str">
        <x:v>San Francisco de Macorís</x:v>
      </x:c>
      <x:c r="B11" s="38" t="n">
        <x:v>18435</x:v>
      </x:c>
    </x:row>
    <x:row r="12">
      <x:c r="A12" s="35" t="str">
        <x:v>Barahona</x:v>
      </x:c>
      <x:c r="B12" s="38" t="n">
        <x:v>17035</x:v>
      </x:c>
    </x:row>
  </x:sheetData>
  <x:mergeCells>
    <x:mergeCell ref="A1:H1"/>
    <x:mergeCell ref="A2:H2"/>
  </x:mergeCells>
  <x:pageMargins left="0.7" right="0.7" top="0.75" bottom="0.75" header="0.3" footer="0.3"/>
  <x:drawing xmlns:r="http://schemas.openxmlformats.org/officeDocument/2006/relationships" r:id="R9a259f89f1e9431c"/>
  <x:tableParts count="1">
    <x:tablePart xmlns:r="http://schemas.openxmlformats.org/officeDocument/2006/relationships" r:id="R44e1ea46e1e44e1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16.25" hidden="0" customWidth="1"/>
    <x:col min="3" max="3" width="13" hidden="0" customWidth="1"/>
  </x:cols>
  <x:sheetData>
    <x:row r="1" ht="34" customHeight="1">
      <x:c r="A1" s="50" t="str">
        <x:v>Ventas de cada Producto por Año</x:v>
      </x:c>
      <x:c r="B1" s="51"/>
      <x:c r="C1" s="51"/>
      <x:c r="D1" s="51"/>
      <x:c r="E1" s="51"/>
      <x:c r="F1" s="51"/>
      <x:c r="G1" s="51"/>
      <x:c r="H1" s="51"/>
      <x:c r="I1" s="51"/>
      <x:c r="J1" s="51"/>
      <x:c r="K1" s="51"/>
      <x:c r="L1" s="51"/>
      <x:c r="M1" s="51"/>
      <x:c r="N1" s="51"/>
      <x:c r="O1" s="51"/>
      <x:c r="P1" s="51"/>
      <x:c r="Q1" s="51"/>
      <x:c r="R1" s="51"/>
      <x:c r="S1" s="51"/>
      <x:c r="T1" s="51"/>
      <x:c r="U1" s="51"/>
      <x:c r="V1" s="51"/>
      <x:c r="W1" s="51"/>
      <x:c r="X1" s="51"/>
      <x:c r="Y1" s="51"/>
      <x:c r="Z1" s="51"/>
    </x:row>
    <x:row r="2" ht="24" customHeight="1">
      <x:c r="A2" s="13" t="str">
        <x:v>Fuente: vw_VentasProductoAnio</x:v>
      </x:c>
    </x:row>
    <x:row r="4">
      <x:c r="A4" s="30" t="str">
        <x:v>Anio</x:v>
      </x:c>
      <x:c r="B4" s="30" t="str">
        <x:v>NombreProducto</x:v>
      </x:c>
      <x:c r="C4" s="30" t="str">
        <x:v>TotalVendido</x:v>
      </x:c>
      <x:c r="E4" s="19" t="str">
        <x:v>Producto</x:v>
      </x:c>
      <x:c r="F4" s="19" t="str">
        <x:v>2024</x:v>
      </x:c>
      <x:c r="G4" s="19" t="str">
        <x:v>2025</x:v>
      </x:c>
      <x:c r="H4" s="19" t="str">
        <x:v>2026</x:v>
      </x:c>
    </x:row>
    <x:row r="5">
      <x:c r="A5" s="35" t="n">
        <x:v>2024</x:v>
      </x:c>
      <x:c r="B5" s="35" t="str">
        <x:v>PRODUCTO 1</x:v>
      </x:c>
      <x:c r="C5" s="38" t="n">
        <x:v>8750</x:v>
      </x:c>
      <x:c r="E5" t="str">
        <x:v>PRODUCTO 1</x:v>
      </x:c>
      <x:c r="F5" s="24" t="n">
        <x:v>8750</x:v>
      </x:c>
      <x:c r="G5" s="24" t="n">
        <x:v>10000</x:v>
      </x:c>
      <x:c r="H5" s="24" t="n">
        <x:v>11250</x:v>
      </x:c>
    </x:row>
    <x:row r="6">
      <x:c r="A6" s="35" t="n">
        <x:v>2024</x:v>
      </x:c>
      <x:c r="B6" s="35" t="str">
        <x:v>PRODUCTO 100</x:v>
      </x:c>
      <x:c r="C6" s="38" t="n">
        <x:v>10250</x:v>
      </x:c>
      <x:c r="E6" t="str">
        <x:v>PRODUCTO 100</x:v>
      </x:c>
      <x:c r="F6" s="24" t="n">
        <x:v>10250</x:v>
      </x:c>
      <x:c r="G6" s="24" t="n">
        <x:v>13500</x:v>
      </x:c>
      <x:c r="H6" s="24" t="n">
        <x:v>13700</x:v>
      </x:c>
    </x:row>
    <x:row r="7">
      <x:c r="A7" s="35" t="n">
        <x:v>2024</x:v>
      </x:c>
      <x:c r="B7" s="35" t="str">
        <x:v>PRODUCTO 101</x:v>
      </x:c>
      <x:c r="C7" s="38" t="n">
        <x:v>3700</x:v>
      </x:c>
      <x:c r="E7" t="str">
        <x:v>PRODUCTO 101</x:v>
      </x:c>
      <x:c r="F7" s="24" t="n">
        <x:v>3700</x:v>
      </x:c>
      <x:c r="G7" s="24" t="n">
        <x:v>11000</x:v>
      </x:c>
      <x:c r="H7" s="24" t="n">
        <x:v>9250</x:v>
      </x:c>
    </x:row>
    <x:row r="8">
      <x:c r="A8" s="35" t="n">
        <x:v>2024</x:v>
      </x:c>
      <x:c r="B8" s="35" t="str">
        <x:v>PRODUCTO 102</x:v>
      </x:c>
      <x:c r="C8" s="38" t="n">
        <x:v>3900</x:v>
      </x:c>
      <x:c r="E8" t="str">
        <x:v>PRODUCTO 102</x:v>
      </x:c>
      <x:c r="F8" s="24" t="n">
        <x:v>3900</x:v>
      </x:c>
      <x:c r="G8" s="24" t="n">
        <x:v>12575</x:v>
      </x:c>
      <x:c r="H8" s="24" t="n">
        <x:v>13450</x:v>
      </x:c>
    </x:row>
    <x:row r="9">
      <x:c r="A9" s="35" t="n">
        <x:v>2024</x:v>
      </x:c>
      <x:c r="B9" s="35" t="str">
        <x:v>PRODUCTO 103</x:v>
      </x:c>
      <x:c r="C9" s="38" t="n">
        <x:v>2160</x:v>
      </x:c>
      <x:c r="E9" t="str">
        <x:v>PRODUCTO 103</x:v>
      </x:c>
      <x:c r="F9" s="24" t="n">
        <x:v>2160</x:v>
      </x:c>
      <x:c r="G9" s="24" t="n">
        <x:v>2880</x:v>
      </x:c>
      <x:c r="H9" s="24" t="n">
        <x:v>6480</x:v>
      </x:c>
    </x:row>
    <x:row r="10">
      <x:c r="A10" s="35" t="n">
        <x:v>2024</x:v>
      </x:c>
      <x:c r="B10" s="35" t="str">
        <x:v>PRODUCTO 2</x:v>
      </x:c>
      <x:c r="C10" s="38" t="n">
        <x:v>6850</x:v>
      </x:c>
      <x:c r="E10" t="str">
        <x:v>PRODUCTO 2</x:v>
      </x:c>
      <x:c r="F10" s="24" t="n">
        <x:v>6850</x:v>
      </x:c>
      <x:c r="G10" s="24" t="n">
        <x:v>15200</x:v>
      </x:c>
      <x:c r="H10" s="24" t="n">
        <x:v>10500</x:v>
      </x:c>
    </x:row>
    <x:row r="11">
      <x:c r="A11" s="35" t="n">
        <x:v>2024</x:v>
      </x:c>
      <x:c r="B11" s="35" t="str">
        <x:v>PRODUCTO 3</x:v>
      </x:c>
      <x:c r="C11" s="38" t="n">
        <x:v>3150</x:v>
      </x:c>
      <x:c r="E11" t="str">
        <x:v>PRODUCTO 3</x:v>
      </x:c>
      <x:c r="F11" s="24" t="n">
        <x:v>3150</x:v>
      </x:c>
      <x:c r="G11" s="24" t="n">
        <x:v>9100</x:v>
      </x:c>
      <x:c r="H11" s="24" t="n">
        <x:v>8350</x:v>
      </x:c>
    </x:row>
    <x:row r="12">
      <x:c r="A12" s="35" t="n">
        <x:v>2024</x:v>
      </x:c>
      <x:c r="B12" s="35" t="str">
        <x:v>PRODUCTO 4</x:v>
      </x:c>
      <x:c r="C12" s="38" t="n">
        <x:v>6100</x:v>
      </x:c>
      <x:c r="E12" t="str">
        <x:v>PRODUCTO 4</x:v>
      </x:c>
      <x:c r="F12" s="24" t="n">
        <x:v>6100</x:v>
      </x:c>
      <x:c r="G12" s="24" t="n">
        <x:v>20650</x:v>
      </x:c>
      <x:c r="H12" s="24" t="n">
        <x:v>10250</x:v>
      </x:c>
    </x:row>
    <x:row r="13">
      <x:c r="A13" s="35" t="n">
        <x:v>2025</x:v>
      </x:c>
      <x:c r="B13" s="35" t="str">
        <x:v>PRODUCTO 1</x:v>
      </x:c>
      <x:c r="C13" s="38" t="n">
        <x:v>10000</x:v>
      </x:c>
    </x:row>
    <x:row r="14">
      <x:c r="A14" s="35" t="n">
        <x:v>2025</x:v>
      </x:c>
      <x:c r="B14" s="35" t="str">
        <x:v>PRODUCTO 100</x:v>
      </x:c>
      <x:c r="C14" s="38" t="n">
        <x:v>13500</x:v>
      </x:c>
    </x:row>
    <x:row r="15">
      <x:c r="A15" s="35" t="n">
        <x:v>2025</x:v>
      </x:c>
      <x:c r="B15" s="35" t="str">
        <x:v>PRODUCTO 101</x:v>
      </x:c>
      <x:c r="C15" s="38" t="n">
        <x:v>11000</x:v>
      </x:c>
    </x:row>
    <x:row r="16">
      <x:c r="A16" s="35" t="n">
        <x:v>2025</x:v>
      </x:c>
      <x:c r="B16" s="35" t="str">
        <x:v>PRODUCTO 102</x:v>
      </x:c>
      <x:c r="C16" s="38" t="n">
        <x:v>12575</x:v>
      </x:c>
    </x:row>
    <x:row r="17">
      <x:c r="A17" s="35" t="n">
        <x:v>2025</x:v>
      </x:c>
      <x:c r="B17" s="35" t="str">
        <x:v>PRODUCTO 103</x:v>
      </x:c>
      <x:c r="C17" s="38" t="n">
        <x:v>2880</x:v>
      </x:c>
    </x:row>
    <x:row r="18">
      <x:c r="A18" s="35" t="n">
        <x:v>2025</x:v>
      </x:c>
      <x:c r="B18" s="35" t="str">
        <x:v>PRODUCTO 2</x:v>
      </x:c>
      <x:c r="C18" s="38" t="n">
        <x:v>15200</x:v>
      </x:c>
    </x:row>
    <x:row r="19">
      <x:c r="A19" s="35" t="n">
        <x:v>2025</x:v>
      </x:c>
      <x:c r="B19" s="35" t="str">
        <x:v>PRODUCTO 3</x:v>
      </x:c>
      <x:c r="C19" s="38" t="n">
        <x:v>9100</x:v>
      </x:c>
    </x:row>
    <x:row r="20">
      <x:c r="A20" s="35" t="n">
        <x:v>2025</x:v>
      </x:c>
      <x:c r="B20" s="35" t="str">
        <x:v>PRODUCTO 4</x:v>
      </x:c>
      <x:c r="C20" s="38" t="n">
        <x:v>20650</x:v>
      </x:c>
    </x:row>
    <x:row r="21">
      <x:c r="A21" s="35" t="n">
        <x:v>2026</x:v>
      </x:c>
      <x:c r="B21" s="35" t="str">
        <x:v>PRODUCTO 1</x:v>
      </x:c>
      <x:c r="C21" s="38" t="n">
        <x:v>11250</x:v>
      </x:c>
    </x:row>
    <x:row r="22">
      <x:c r="A22" s="35" t="n">
        <x:v>2026</x:v>
      </x:c>
      <x:c r="B22" s="35" t="str">
        <x:v>PRODUCTO 100</x:v>
      </x:c>
      <x:c r="C22" s="38" t="n">
        <x:v>13700</x:v>
      </x:c>
    </x:row>
    <x:row r="23">
      <x:c r="A23" s="35" t="n">
        <x:v>2026</x:v>
      </x:c>
      <x:c r="B23" s="35" t="str">
        <x:v>PRODUCTO 101</x:v>
      </x:c>
      <x:c r="C23" s="38" t="n">
        <x:v>9250</x:v>
      </x:c>
    </x:row>
    <x:row r="24">
      <x:c r="A24" s="35" t="n">
        <x:v>2026</x:v>
      </x:c>
      <x:c r="B24" s="35" t="str">
        <x:v>PRODUCTO 102</x:v>
      </x:c>
      <x:c r="C24" s="38" t="n">
        <x:v>13450</x:v>
      </x:c>
    </x:row>
    <x:row r="25">
      <x:c r="A25" s="35" t="n">
        <x:v>2026</x:v>
      </x:c>
      <x:c r="B25" s="35" t="str">
        <x:v>PRODUCTO 103</x:v>
      </x:c>
      <x:c r="C25" s="38" t="n">
        <x:v>6480</x:v>
      </x:c>
    </x:row>
    <x:row r="26">
      <x:c r="A26" s="35" t="n">
        <x:v>2026</x:v>
      </x:c>
      <x:c r="B26" s="35" t="str">
        <x:v>PRODUCTO 2</x:v>
      </x:c>
      <x:c r="C26" s="38" t="n">
        <x:v>10500</x:v>
      </x:c>
    </x:row>
    <x:row r="27">
      <x:c r="A27" s="35" t="n">
        <x:v>2026</x:v>
      </x:c>
      <x:c r="B27" s="35" t="str">
        <x:v>PRODUCTO 3</x:v>
      </x:c>
      <x:c r="C27" s="38" t="n">
        <x:v>8350</x:v>
      </x:c>
    </x:row>
    <x:row r="28">
      <x:c r="A28" s="35" t="n">
        <x:v>2026</x:v>
      </x:c>
      <x:c r="B28" s="35" t="str">
        <x:v>PRODUCTO 4</x:v>
      </x:c>
      <x:c r="C28" s="38" t="n">
        <x:v>10250</x:v>
      </x:c>
    </x:row>
  </x:sheetData>
  <x:mergeCells>
    <x:mergeCell ref="A1:H1"/>
    <x:mergeCell ref="A2:H2"/>
  </x:mergeCells>
  <x:pageMargins left="0.7" right="0.7" top="0.75" bottom="0.75" header="0.3" footer="0.3"/>
  <x:drawing xmlns:r="http://schemas.openxmlformats.org/officeDocument/2006/relationships" r:id="R2975557459d44932"/>
  <x:tableParts count="2">
    <x:tablePart xmlns:r="http://schemas.openxmlformats.org/officeDocument/2006/relationships" r:id="R39b3c7136f1d40af"/>
    <x:tablePart xmlns:r="http://schemas.openxmlformats.org/officeDocument/2006/relationships" r:id="Rfa632e08abe54af8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45.380001068115234" hidden="0" customWidth="1"/>
    <x:col min="2" max="2" width="18.75" hidden="0" customWidth="1"/>
    <x:col min="3" max="3" width="16" hidden="0" customWidth="1"/>
    <x:col min="4" max="4" width="13" hidden="0" customWidth="1"/>
    <x:col min="5" max="5" width="13" hidden="0" customWidth="1"/>
  </x:cols>
  <x:sheetData>
    <x:row r="1" ht="34" customHeight="1">
      <x:c r="A1" s="50" t="str">
        <x:v>Reporte Principal: Últimos 3 Meses</x:v>
      </x:c>
      <x:c r="B1" s="51"/>
      <x:c r="C1" s="51"/>
      <x:c r="D1" s="51"/>
      <x:c r="E1" s="51"/>
      <x:c r="F1" s="51"/>
      <x:c r="G1" s="51"/>
      <x:c r="H1" s="51"/>
      <x:c r="I1" s="51"/>
      <x:c r="J1" s="51"/>
      <x:c r="K1" s="51"/>
      <x:c r="L1" s="51"/>
      <x:c r="M1" s="51"/>
      <x:c r="N1" s="51"/>
      <x:c r="O1" s="51"/>
      <x:c r="P1" s="51"/>
      <x:c r="Q1" s="51"/>
      <x:c r="R1" s="51"/>
      <x:c r="S1" s="51"/>
      <x:c r="T1" s="51"/>
      <x:c r="U1" s="51"/>
      <x:c r="V1" s="51"/>
      <x:c r="W1" s="51"/>
      <x:c r="X1" s="51"/>
      <x:c r="Y1" s="51"/>
      <x:c r="Z1" s="51"/>
    </x:row>
    <x:row r="2" ht="24" customHeight="1">
      <x:c r="A2" s="13" t="str">
        <x:v>Producto vendido por ciudad con subtotales y total general</x:v>
      </x:c>
    </x:row>
    <x:row r="4">
      <x:c r="A4" s="30" t="str">
        <x:v>Ciudad</x:v>
      </x:c>
      <x:c r="B4" s="30" t="str">
        <x:v>Producto</x:v>
      </x:c>
      <x:c r="C4" s="30" t="str">
        <x:v>CantidadVendida</x:v>
      </x:c>
      <x:c r="D4" s="30" t="str">
        <x:v>TotalVendido</x:v>
      </x:c>
      <x:c r="E4" s="30" t="str">
        <x:v>NivelReporte</x:v>
      </x:c>
    </x:row>
    <x:row r="5">
      <x:c r="A5" s="35" t="str">
        <x:v>Barahona</x:v>
      </x:c>
      <x:c r="B5" s="35" t="str">
        <x:v>PRODUCTO 100</x:v>
      </x:c>
      <x:c r="C5" s="40" t="n">
        <x:v>2</x:v>
      </x:c>
      <x:c r="D5" s="38" t="n">
        <x:v>7000</x:v>
      </x:c>
      <x:c r="E5" s="35" t="n">
        <x:v>1</x:v>
      </x:c>
    </x:row>
    <x:row r="6">
      <x:c r="A6" s="35" t="str">
        <x:v>Barahona</x:v>
      </x:c>
      <x:c r="B6" s="35" t="str">
        <x:v>PRODUCTO 2</x:v>
      </x:c>
      <x:c r="C6" s="40" t="n">
        <x:v>5</x:v>
      </x:c>
      <x:c r="D6" s="38" t="n">
        <x:v>4375</x:v>
      </x:c>
      <x:c r="E6" s="35" t="n">
        <x:v>1</x:v>
      </x:c>
    </x:row>
    <x:row r="7">
      <x:c r="A7" s="35" t="str">
        <x:v>Barahona</x:v>
      </x:c>
      <x:c r="B7" s="35" t="str">
        <x:v>TOTAL CIUDAD</x:v>
      </x:c>
      <x:c r="C7" s="40" t="n">
        <x:v>7</x:v>
      </x:c>
      <x:c r="D7" s="38" t="n">
        <x:v>11375</x:v>
      </x:c>
      <x:c r="E7" s="35" t="n">
        <x:v>2</x:v>
      </x:c>
    </x:row>
    <x:row r="8">
      <x:c r="A8" s="35" t="str">
        <x:v>Higüey</x:v>
      </x:c>
      <x:c r="B8" s="35" t="str">
        <x:v>PRODUCTO 101</x:v>
      </x:c>
      <x:c r="C8" s="40" t="n">
        <x:v>2</x:v>
      </x:c>
      <x:c r="D8" s="38" t="n">
        <x:v>3700</x:v>
      </x:c>
      <x:c r="E8" s="35" t="n">
        <x:v>1</x:v>
      </x:c>
    </x:row>
    <x:row r="9">
      <x:c r="A9" s="35" t="str">
        <x:v>Higüey</x:v>
      </x:c>
      <x:c r="B9" s="35" t="str">
        <x:v>PRODUCTO 3</x:v>
      </x:c>
      <x:c r="C9" s="40" t="n">
        <x:v>7</x:v>
      </x:c>
      <x:c r="D9" s="38" t="n">
        <x:v>4450</x:v>
      </x:c>
      <x:c r="E9" s="35" t="n">
        <x:v>1</x:v>
      </x:c>
    </x:row>
    <x:row r="10">
      <x:c r="A10" s="35" t="str">
        <x:v>Higüey</x:v>
      </x:c>
      <x:c r="B10" s="35" t="str">
        <x:v>TOTAL CIUDAD</x:v>
      </x:c>
      <x:c r="C10" s="40" t="n">
        <x:v>9</x:v>
      </x:c>
      <x:c r="D10" s="38" t="n">
        <x:v>8150</x:v>
      </x:c>
      <x:c r="E10" s="35" t="n">
        <x:v>2</x:v>
      </x:c>
    </x:row>
    <x:row r="11">
      <x:c r="A11" s="35" t="str">
        <x:v>La Romana</x:v>
      </x:c>
      <x:c r="B11" s="35" t="str">
        <x:v>PRODUCTO 101</x:v>
      </x:c>
      <x:c r="C11" s="40" t="n">
        <x:v>3</x:v>
      </x:c>
      <x:c r="D11" s="38" t="n">
        <x:v>5550</x:v>
      </x:c>
      <x:c r="E11" s="35" t="n">
        <x:v>1</x:v>
      </x:c>
    </x:row>
    <x:row r="12">
      <x:c r="A12" s="35" t="str">
        <x:v>La Romana</x:v>
      </x:c>
      <x:c r="B12" s="35" t="str">
        <x:v>PRODUCTO 3</x:v>
      </x:c>
      <x:c r="C12" s="40" t="n">
        <x:v>6</x:v>
      </x:c>
      <x:c r="D12" s="38" t="n">
        <x:v>3900</x:v>
      </x:c>
      <x:c r="E12" s="35" t="n">
        <x:v>1</x:v>
      </x:c>
    </x:row>
    <x:row r="13">
      <x:c r="A13" s="35" t="str">
        <x:v>La Romana</x:v>
      </x:c>
      <x:c r="B13" s="35" t="str">
        <x:v>TOTAL CIUDAD</x:v>
      </x:c>
      <x:c r="C13" s="40" t="n">
        <x:v>9</x:v>
      </x:c>
      <x:c r="D13" s="38" t="n">
        <x:v>9450</x:v>
      </x:c>
      <x:c r="E13" s="35" t="n">
        <x:v>2</x:v>
      </x:c>
    </x:row>
    <x:row r="14">
      <x:c r="A14" s="35" t="str">
        <x:v>Puerto Plata</x:v>
      </x:c>
      <x:c r="B14" s="35" t="str">
        <x:v>PRODUCTO 102</x:v>
      </x:c>
      <x:c r="C14" s="40" t="n">
        <x:v>8</x:v>
      </x:c>
      <x:c r="D14" s="38" t="n">
        <x:v>7600</x:v>
      </x:c>
      <x:c r="E14" s="35" t="n">
        <x:v>1</x:v>
      </x:c>
    </x:row>
    <x:row r="15">
      <x:c r="A15" s="35" t="str">
        <x:v>Puerto Plata</x:v>
      </x:c>
      <x:c r="B15" s="35" t="str">
        <x:v>PRODUCTO 103</x:v>
      </x:c>
      <x:c r="C15" s="40" t="n">
        <x:v>5</x:v>
      </x:c>
      <x:c r="D15" s="38" t="n">
        <x:v>3600</x:v>
      </x:c>
      <x:c r="E15" s="35" t="n">
        <x:v>1</x:v>
      </x:c>
    </x:row>
    <x:row r="16">
      <x:c r="A16" s="35" t="str">
        <x:v>Puerto Plata</x:v>
      </x:c>
      <x:c r="B16" s="35" t="str">
        <x:v>TOTAL CIUDAD</x:v>
      </x:c>
      <x:c r="C16" s="40" t="n">
        <x:v>13</x:v>
      </x:c>
      <x:c r="D16" s="38" t="n">
        <x:v>11200</x:v>
      </x:c>
      <x:c r="E16" s="35" t="n">
        <x:v>2</x:v>
      </x:c>
    </x:row>
    <x:row r="17">
      <x:c r="A17" s="35" t="str">
        <x:v>San Francisco de Macorís</x:v>
      </x:c>
      <x:c r="B17" s="35" t="str">
        <x:v>PRODUCTO 102</x:v>
      </x:c>
      <x:c r="C17" s="40" t="n">
        <x:v>6</x:v>
      </x:c>
      <x:c r="D17" s="38" t="n">
        <x:v>5850</x:v>
      </x:c>
      <x:c r="E17" s="35" t="n">
        <x:v>1</x:v>
      </x:c>
    </x:row>
    <x:row r="18">
      <x:c r="A18" s="35" t="str">
        <x:v>San Francisco de Macorís</x:v>
      </x:c>
      <x:c r="B18" s="35" t="str">
        <x:v>PRODUCTO 103</x:v>
      </x:c>
      <x:c r="C18" s="40" t="n">
        <x:v>4</x:v>
      </x:c>
      <x:c r="D18" s="38" t="n">
        <x:v>2880</x:v>
      </x:c>
      <x:c r="E18" s="35" t="n">
        <x:v>1</x:v>
      </x:c>
    </x:row>
    <x:row r="19">
      <x:c r="A19" s="35" t="str">
        <x:v>San Francisco de Macorís</x:v>
      </x:c>
      <x:c r="B19" s="35" t="str">
        <x:v>TOTAL CIUDAD</x:v>
      </x:c>
      <x:c r="C19" s="40" t="n">
        <x:v>10</x:v>
      </x:c>
      <x:c r="D19" s="38" t="n">
        <x:v>8730</x:v>
      </x:c>
      <x:c r="E19" s="35" t="n">
        <x:v>2</x:v>
      </x:c>
    </x:row>
    <x:row r="20">
      <x:c r="A20" s="35" t="str">
        <x:v>San Pedro de Macorís</x:v>
      </x:c>
      <x:c r="B20" s="35" t="str">
        <x:v>PRODUCTO 1</x:v>
      </x:c>
      <x:c r="C20" s="40" t="n">
        <x:v>4</x:v>
      </x:c>
      <x:c r="D20" s="38" t="n">
        <x:v>5000</x:v>
      </x:c>
      <x:c r="E20" s="35" t="n">
        <x:v>1</x:v>
      </x:c>
    </x:row>
    <x:row r="21">
      <x:c r="A21" s="35" t="str">
        <x:v>San Pedro de Macorís</x:v>
      </x:c>
      <x:c r="B21" s="35" t="str">
        <x:v>PRODUCTO 4</x:v>
      </x:c>
      <x:c r="C21" s="40" t="n">
        <x:v>3</x:v>
      </x:c>
      <x:c r="D21" s="38" t="n">
        <x:v>6150</x:v>
      </x:c>
      <x:c r="E21" s="35" t="n">
        <x:v>1</x:v>
      </x:c>
    </x:row>
    <x:row r="22">
      <x:c r="A22" s="35" t="str">
        <x:v>San Pedro de Macorís</x:v>
      </x:c>
      <x:c r="B22" s="35" t="str">
        <x:v>TOTAL CIUDAD</x:v>
      </x:c>
      <x:c r="C22" s="40" t="n">
        <x:v>7</x:v>
      </x:c>
      <x:c r="D22" s="38" t="n">
        <x:v>11150</x:v>
      </x:c>
      <x:c r="E22" s="35" t="n">
        <x:v>2</x:v>
      </x:c>
    </x:row>
    <x:row r="23">
      <x:c r="A23" s="35" t="str">
        <x:v>Santiago</x:v>
      </x:c>
      <x:c r="B23" s="35" t="str">
        <x:v>PRODUCTO 2</x:v>
      </x:c>
      <x:c r="C23" s="40" t="n">
        <x:v>7</x:v>
      </x:c>
      <x:c r="D23" s="38" t="n">
        <x:v>6125</x:v>
      </x:c>
      <x:c r="E23" s="35" t="n">
        <x:v>1</x:v>
      </x:c>
    </x:row>
    <x:row r="24">
      <x:c r="A24" s="35" t="str">
        <x:v>Santiago</x:v>
      </x:c>
      <x:c r="B24" s="35" t="str">
        <x:v>PRODUCTO 4</x:v>
      </x:c>
      <x:c r="C24" s="40" t="n">
        <x:v>2</x:v>
      </x:c>
      <x:c r="D24" s="38" t="n">
        <x:v>4100</x:v>
      </x:c>
      <x:c r="E24" s="35" t="n">
        <x:v>1</x:v>
      </x:c>
    </x:row>
    <x:row r="25">
      <x:c r="A25" s="35" t="str">
        <x:v>Santiago</x:v>
      </x:c>
      <x:c r="B25" s="35" t="str">
        <x:v>TOTAL CIUDAD</x:v>
      </x:c>
      <x:c r="C25" s="40" t="n">
        <x:v>9</x:v>
      </x:c>
      <x:c r="D25" s="38" t="n">
        <x:v>10225</x:v>
      </x:c>
      <x:c r="E25" s="35" t="n">
        <x:v>2</x:v>
      </x:c>
    </x:row>
    <x:row r="26">
      <x:c r="A26" s="35" t="str">
        <x:v>Santo Domingo</x:v>
      </x:c>
      <x:c r="B26" s="35" t="str">
        <x:v>PRODUCTO 1</x:v>
      </x:c>
      <x:c r="C26" s="40" t="n">
        <x:v>5</x:v>
      </x:c>
      <x:c r="D26" s="38" t="n">
        <x:v>6250</x:v>
      </x:c>
      <x:c r="E26" s="35" t="n">
        <x:v>1</x:v>
      </x:c>
    </x:row>
    <x:row r="27">
      <x:c r="A27" s="35" t="str">
        <x:v>Santo Domingo</x:v>
      </x:c>
      <x:c r="B27" s="35" t="str">
        <x:v>PRODUCTO 100</x:v>
      </x:c>
      <x:c r="C27" s="40" t="n">
        <x:v>2</x:v>
      </x:c>
      <x:c r="D27" s="38" t="n">
        <x:v>6700</x:v>
      </x:c>
      <x:c r="E27" s="35" t="n">
        <x:v>1</x:v>
      </x:c>
    </x:row>
    <x:row r="28">
      <x:c r="A28" s="35" t="str">
        <x:v>Santo Domingo</x:v>
      </x:c>
      <x:c r="B28" s="35" t="str">
        <x:v>TOTAL CIUDAD</x:v>
      </x:c>
      <x:c r="C28" s="40" t="n">
        <x:v>7</x:v>
      </x:c>
      <x:c r="D28" s="38" t="n">
        <x:v>12950</x:v>
      </x:c>
      <x:c r="E28" s="35" t="n">
        <x:v>2</x:v>
      </x:c>
    </x:row>
    <x:row r="29">
      <x:c r="A29" s="35" t="str">
        <x:v>TOTAL GENERAL</x:v>
      </x:c>
      <x:c r="B29" s="35" t="str">
        <x:v>TODOS LOS PRODUCTOS</x:v>
      </x:c>
      <x:c r="C29" s="40" t="n">
        <x:v>71</x:v>
      </x:c>
      <x:c r="D29" s="38" t="n">
        <x:v>83230</x:v>
      </x:c>
      <x:c r="E29" s="35" t="n">
        <x:v>3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2ef297fe0e454506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41.130001068115234" hidden="0" customWidth="1"/>
    <x:col min="2" max="2" width="9.130000114440918" hidden="0" customWidth="1"/>
    <x:col min="3" max="3" width="6.630000114440918" hidden="0" customWidth="1"/>
    <x:col min="4" max="4" width="6.380000114440918" hidden="0" customWidth="1"/>
    <x:col min="5" max="5" width="19.25" hidden="0" customWidth="1"/>
    <x:col min="6" max="6" width="16.6299991607666" hidden="0" customWidth="1"/>
    <x:col min="7" max="7" width="12" hidden="0" customWidth="1"/>
    <x:col min="8" max="8" width="19.6299991607666" hidden="0" customWidth="1"/>
    <x:col min="9" max="9" width="11.630000114440918" hidden="0" customWidth="1"/>
    <x:col min="10" max="10" width="11.5" hidden="0" customWidth="1"/>
    <x:col min="11" max="11" width="16.25" hidden="0" customWidth="1"/>
    <x:col min="12" max="12" width="10.25" hidden="0" customWidth="1"/>
    <x:col min="13" max="13" width="9.880000114440918" hidden="0" customWidth="1"/>
    <x:col min="14" max="14" width="14" hidden="0" customWidth="1"/>
    <x:col min="15" max="15" width="11.130000114440918" hidden="0" customWidth="1"/>
    <x:col min="16" max="16" width="11.130000114440918" hidden="0" customWidth="1"/>
  </x:cols>
  <x:sheetData>
    <x:row r="1" ht="34" customHeight="1">
      <x:c r="A1" s="50" t="str">
        <x:v>SalesIntel DW - Datos Detallados</x:v>
      </x:c>
      <x:c r="B1" s="51"/>
      <x:c r="C1" s="51"/>
      <x:c r="D1" s="51"/>
      <x:c r="E1" s="51"/>
      <x:c r="F1" s="51"/>
      <x:c r="G1" s="51"/>
      <x:c r="H1" s="51"/>
      <x:c r="I1" s="51"/>
      <x:c r="J1" s="51"/>
      <x:c r="K1" s="51"/>
      <x:c r="L1" s="51"/>
      <x:c r="M1" s="51"/>
      <x:c r="N1" s="51"/>
      <x:c r="O1" s="51"/>
      <x:c r="P1" s="51"/>
      <x:c r="Q1" s="51"/>
      <x:c r="R1" s="51"/>
      <x:c r="S1" s="51"/>
      <x:c r="T1" s="51"/>
      <x:c r="U1" s="51"/>
      <x:c r="V1" s="51"/>
      <x:c r="W1" s="51"/>
      <x:c r="X1" s="51"/>
      <x:c r="Y1" s="51"/>
      <x:c r="Z1" s="51"/>
    </x:row>
    <x:row r="2" ht="24" customHeight="1">
      <x:c r="A2" s="13" t="str">
        <x:v>Salida simulada desde FactVentas + dimensiones</x:v>
      </x:c>
    </x:row>
    <x:row r="4">
      <x:c r="A4" s="19" t="str">
        <x:v>NumeroFactura</x:v>
      </x:c>
      <x:c r="B4" s="19" t="str">
        <x:v>Fecha</x:v>
      </x:c>
      <x:c r="C4" s="19" t="str">
        <x:v>Anio</x:v>
      </x:c>
      <x:c r="D4" s="19" t="str">
        <x:v>Mes</x:v>
      </x:c>
      <x:c r="E4" s="19" t="str">
        <x:v>NombreCiudad</x:v>
      </x:c>
      <x:c r="F4" s="19" t="str">
        <x:v>Provincia</x:v>
      </x:c>
      <x:c r="G4" s="19" t="str">
        <x:v>Region</x:v>
      </x:c>
      <x:c r="H4" s="19" t="str">
        <x:v>NombreCliente</x:v>
      </x:c>
      <x:c r="I4" s="19" t="str">
        <x:v>TipoCliente</x:v>
      </x:c>
      <x:c r="J4" s="19" t="str">
        <x:v>IdProducto</x:v>
      </x:c>
      <x:c r="K4" s="19" t="str">
        <x:v>NombreProducto</x:v>
      </x:c>
      <x:c r="L4" s="19" t="str">
        <x:v>Categoria</x:v>
      </x:c>
      <x:c r="M4" s="19" t="str">
        <x:v>Cantidad</x:v>
      </x:c>
      <x:c r="N4" s="19" t="str">
        <x:v>PrecioUnitario</x:v>
      </x:c>
      <x:c r="O4" s="19" t="str">
        <x:v>Descuento</x:v>
      </x:c>
      <x:c r="P4" s="19" t="str">
        <x:v>TotalVenta</x:v>
      </x:c>
    </x:row>
    <x:row r="5">
      <x:c r="A5" t="str">
        <x:v>F-2024-0001</x:v>
      </x:c>
      <x:c r="B5" s="22" t="n">
        <x:v>45306</x:v>
      </x:c>
      <x:c r="C5" t="n">
        <x:v>2024</x:v>
      </x:c>
      <x:c r="D5" t="n">
        <x:v>1</x:v>
      </x:c>
      <x:c r="E5" t="str">
        <x:v>Santo Domingo</x:v>
      </x:c>
      <x:c r="F5" t="str">
        <x:v>Santo Domingo</x:v>
      </x:c>
      <x:c r="G5" t="str">
        <x:v>Ozama</x:v>
      </x:c>
      <x:c r="H5" t="str">
        <x:v>Cliente Corporativo Norte</x:v>
      </x:c>
      <x:c r="I5" t="str">
        <x:v>Corporativo</x:v>
      </x:c>
      <x:c r="J5" t="n">
        <x:v>1</x:v>
      </x:c>
      <x:c r="K5" t="str">
        <x:v>PRODUCTO 1</x:v>
      </x:c>
      <x:c r="L5" t="str">
        <x:v>Tecnología</x:v>
      </x:c>
      <x:c r="M5" s="26" t="n">
        <x:v>4</x:v>
      </x:c>
      <x:c r="N5" s="24" t="n">
        <x:v>1250</x:v>
      </x:c>
      <x:c r="O5" s="24" t="n">
        <x:v>0</x:v>
      </x:c>
      <x:c r="P5" s="24" t="n">
        <x:v>5000</x:v>
      </x:c>
    </x:row>
    <x:row r="6">
      <x:c r="A6" t="str">
        <x:v>F-2024-0001</x:v>
      </x:c>
      <x:c r="B6" s="22" t="n">
        <x:v>45306</x:v>
      </x:c>
      <x:c r="C6" t="n">
        <x:v>2024</x:v>
      </x:c>
      <x:c r="D6" t="n">
        <x:v>1</x:v>
      </x:c>
      <x:c r="E6" t="str">
        <x:v>Santo Domingo</x:v>
      </x:c>
      <x:c r="F6" t="str">
        <x:v>Santo Domingo</x:v>
      </x:c>
      <x:c r="G6" t="str">
        <x:v>Ozama</x:v>
      </x:c>
      <x:c r="H6" t="str">
        <x:v>Cliente Corporativo Norte</x:v>
      </x:c>
      <x:c r="I6" t="str">
        <x:v>Corporativo</x:v>
      </x:c>
      <x:c r="J6" t="n">
        <x:v>2</x:v>
      </x:c>
      <x:c r="K6" t="str">
        <x:v>PRODUCTO 2</x:v>
      </x:c>
      <x:c r="L6" t="str">
        <x:v>Oficina</x:v>
      </x:c>
      <x:c r="M6" s="26" t="n">
        <x:v>2</x:v>
      </x:c>
      <x:c r="N6" s="24" t="n">
        <x:v>875</x:v>
      </x:c>
      <x:c r="O6" s="24" t="n">
        <x:v>0</x:v>
      </x:c>
      <x:c r="P6" s="24" t="n">
        <x:v>1750</x:v>
      </x:c>
    </x:row>
    <x:row r="7">
      <x:c r="A7" t="str">
        <x:v>F-2024-0002</x:v>
      </x:c>
      <x:c r="B7" s="22" t="n">
        <x:v>45342</x:v>
      </x:c>
      <x:c r="C7" t="n">
        <x:v>2024</x:v>
      </x:c>
      <x:c r="D7" t="n">
        <x:v>2</x:v>
      </x:c>
      <x:c r="E7" t="str">
        <x:v>Santiago</x:v>
      </x:c>
      <x:c r="F7" t="str">
        <x:v>Santiago</x:v>
      </x:c>
      <x:c r="G7" t="str">
        <x:v>Cibao Norte</x:v>
      </x:c>
      <x:c r="H7" t="str">
        <x:v>Distribuidora Capital</x:v>
      </x:c>
      <x:c r="I7" t="str">
        <x:v>Distribuidor</x:v>
      </x:c>
      <x:c r="J7" t="n">
        <x:v>3</x:v>
      </x:c>
      <x:c r="K7" t="str">
        <x:v>PRODUCTO 3</x:v>
      </x:c>
      <x:c r="L7" t="str">
        <x:v>Hogar</x:v>
      </x:c>
      <x:c r="M7" s="26" t="n">
        <x:v>5</x:v>
      </x:c>
      <x:c r="N7" s="24" t="n">
        <x:v>650</x:v>
      </x:c>
      <x:c r="O7" s="24" t="n">
        <x:v>100</x:v>
      </x:c>
      <x:c r="P7" s="24" t="n">
        <x:v>3150</x:v>
      </x:c>
    </x:row>
    <x:row r="8">
      <x:c r="A8" t="str">
        <x:v>F-2024-0002</x:v>
      </x:c>
      <x:c r="B8" s="22" t="n">
        <x:v>45342</x:v>
      </x:c>
      <x:c r="C8" t="n">
        <x:v>2024</x:v>
      </x:c>
      <x:c r="D8" t="n">
        <x:v>2</x:v>
      </x:c>
      <x:c r="E8" t="str">
        <x:v>Santiago</x:v>
      </x:c>
      <x:c r="F8" t="str">
        <x:v>Santiago</x:v>
      </x:c>
      <x:c r="G8" t="str">
        <x:v>Cibao Norte</x:v>
      </x:c>
      <x:c r="H8" t="str">
        <x:v>Distribuidora Capital</x:v>
      </x:c>
      <x:c r="I8" t="str">
        <x:v>Distribuidor</x:v>
      </x:c>
      <x:c r="J8" t="n">
        <x:v>4</x:v>
      </x:c>
      <x:c r="K8" t="str">
        <x:v>PRODUCTO 4</x:v>
      </x:c>
      <x:c r="L8" t="str">
        <x:v>Electrónica</x:v>
      </x:c>
      <x:c r="M8" s="26" t="n">
        <x:v>1</x:v>
      </x:c>
      <x:c r="N8" s="24" t="n">
        <x:v>2100</x:v>
      </x:c>
      <x:c r="O8" s="24" t="n">
        <x:v>0</x:v>
      </x:c>
      <x:c r="P8" s="24" t="n">
        <x:v>2100</x:v>
      </x:c>
    </x:row>
    <x:row r="9">
      <x:c r="A9" t="str">
        <x:v>F-2024-0003</x:v>
      </x:c>
      <x:c r="B9" s="22" t="n">
        <x:v>45363</x:v>
      </x:c>
      <x:c r="C9" t="n">
        <x:v>2024</x:v>
      </x:c>
      <x:c r="D9" t="n">
        <x:v>3</x:v>
      </x:c>
      <x:c r="E9" t="str">
        <x:v>La Romana</x:v>
      </x:c>
      <x:c r="F9" t="str">
        <x:v>La Romana</x:v>
      </x:c>
      <x:c r="G9" t="str">
        <x:v>Yuma</x:v>
      </x:c>
      <x:c r="H9" t="str">
        <x:v>Comercial del Este</x:v>
      </x:c>
      <x:c r="I9" t="str">
        <x:v>Distribuidor</x:v>
      </x:c>
      <x:c r="J9" t="n">
        <x:v>100</x:v>
      </x:c>
      <x:c r="K9" t="str">
        <x:v>PRODUCTO 100</x:v>
      </x:c>
      <x:c r="L9" t="str">
        <x:v>Especial</x:v>
      </x:c>
      <x:c r="M9" s="26" t="n">
        <x:v>2</x:v>
      </x:c>
      <x:c r="N9" s="24" t="n">
        <x:v>3500</x:v>
      </x:c>
      <x:c r="O9" s="24" t="n">
        <x:v>250</x:v>
      </x:c>
      <x:c r="P9" s="24" t="n">
        <x:v>6750</x:v>
      </x:c>
    </x:row>
    <x:row r="10">
      <x:c r="A10" t="str">
        <x:v>F-2024-0003</x:v>
      </x:c>
      <x:c r="B10" s="22" t="n">
        <x:v>45363</x:v>
      </x:c>
      <x:c r="C10" t="n">
        <x:v>2024</x:v>
      </x:c>
      <x:c r="D10" t="n">
        <x:v>3</x:v>
      </x:c>
      <x:c r="E10" t="str">
        <x:v>La Romana</x:v>
      </x:c>
      <x:c r="F10" t="str">
        <x:v>La Romana</x:v>
      </x:c>
      <x:c r="G10" t="str">
        <x:v>Yuma</x:v>
      </x:c>
      <x:c r="H10" t="str">
        <x:v>Comercial del Este</x:v>
      </x:c>
      <x:c r="I10" t="str">
        <x:v>Distribuidor</x:v>
      </x:c>
      <x:c r="J10" t="n">
        <x:v>1</x:v>
      </x:c>
      <x:c r="K10" t="str">
        <x:v>PRODUCTO 1</x:v>
      </x:c>
      <x:c r="L10" t="str">
        <x:v>Tecnología</x:v>
      </x:c>
      <x:c r="M10" s="26" t="n">
        <x:v>3</x:v>
      </x:c>
      <x:c r="N10" s="24" t="n">
        <x:v>1250</x:v>
      </x:c>
      <x:c r="O10" s="24" t="n">
        <x:v>0</x:v>
      </x:c>
      <x:c r="P10" s="24" t="n">
        <x:v>3750</x:v>
      </x:c>
    </x:row>
    <x:row r="11">
      <x:c r="A11" t="str">
        <x:v>F-2024-0004</x:v>
      </x:c>
      <x:c r="B11" s="22" t="n">
        <x:v>45448</x:v>
      </x:c>
      <x:c r="C11" t="n">
        <x:v>2024</x:v>
      </x:c>
      <x:c r="D11" t="n">
        <x:v>6</x:v>
      </x:c>
      <x:c r="E11" t="str">
        <x:v>Puerto Plata</x:v>
      </x:c>
      <x:c r="F11" t="str">
        <x:v>Puerto Plata</x:v>
      </x:c>
      <x:c r="G11" t="str">
        <x:v>Cibao Norte</x:v>
      </x:c>
      <x:c r="H11" t="str">
        <x:v>Cliente Minorista 001</x:v>
      </x:c>
      <x:c r="I11" t="str">
        <x:v>Minorista</x:v>
      </x:c>
      <x:c r="J11" t="n">
        <x:v>2</x:v>
      </x:c>
      <x:c r="K11" t="str">
        <x:v>PRODUCTO 2</x:v>
      </x:c>
      <x:c r="L11" t="str">
        <x:v>Oficina</x:v>
      </x:c>
      <x:c r="M11" s="26" t="n">
        <x:v>6</x:v>
      </x:c>
      <x:c r="N11" s="24" t="n">
        <x:v>875</x:v>
      </x:c>
      <x:c r="O11" s="24" t="n">
        <x:v>150</x:v>
      </x:c>
      <x:c r="P11" s="24" t="n">
        <x:v>5100</x:v>
      </x:c>
    </x:row>
    <x:row r="12">
      <x:c r="A12" t="str">
        <x:v>F-2024-0004</x:v>
      </x:c>
      <x:c r="B12" s="22" t="n">
        <x:v>45448</x:v>
      </x:c>
      <x:c r="C12" t="n">
        <x:v>2024</x:v>
      </x:c>
      <x:c r="D12" t="n">
        <x:v>6</x:v>
      </x:c>
      <x:c r="E12" t="str">
        <x:v>Puerto Plata</x:v>
      </x:c>
      <x:c r="F12" t="str">
        <x:v>Puerto Plata</x:v>
      </x:c>
      <x:c r="G12" t="str">
        <x:v>Cibao Norte</x:v>
      </x:c>
      <x:c r="H12" t="str">
        <x:v>Cliente Minorista 001</x:v>
      </x:c>
      <x:c r="I12" t="str">
        <x:v>Minorista</x:v>
      </x:c>
      <x:c r="J12" t="n">
        <x:v>101</x:v>
      </x:c>
      <x:c r="K12" t="str">
        <x:v>PRODUCTO 101</x:v>
      </x:c>
      <x:c r="L12" t="str">
        <x:v>Tecnología</x:v>
      </x:c>
      <x:c r="M12" s="26" t="n">
        <x:v>2</x:v>
      </x:c>
      <x:c r="N12" s="24" t="n">
        <x:v>1850</x:v>
      </x:c>
      <x:c r="O12" s="24" t="n">
        <x:v>0</x:v>
      </x:c>
      <x:c r="P12" s="24" t="n">
        <x:v>3700</x:v>
      </x:c>
    </x:row>
    <x:row r="13">
      <x:c r="A13" t="str">
        <x:v>F-2024-0005</x:v>
      </x:c>
      <x:c r="B13" s="22" t="n">
        <x:v>45553</x:v>
      </x:c>
      <x:c r="C13" t="n">
        <x:v>2024</x:v>
      </x:c>
      <x:c r="D13" t="n">
        <x:v>9</x:v>
      </x:c>
      <x:c r="E13" t="str">
        <x:v>San Pedro de Macorís</x:v>
      </x:c>
      <x:c r="F13" t="str">
        <x:v>San Pedro de Macorís</x:v>
      </x:c>
      <x:c r="G13" t="str">
        <x:v>Higuamo</x:v>
      </x:c>
      <x:c r="H13" t="str">
        <x:v>Cliente Gobierno 001</x:v>
      </x:c>
      <x:c r="I13" t="str">
        <x:v>Institucional</x:v>
      </x:c>
      <x:c r="J13" t="n">
        <x:v>102</x:v>
      </x:c>
      <x:c r="K13" t="str">
        <x:v>PRODUCTO 102</x:v>
      </x:c>
      <x:c r="L13" t="str">
        <x:v>Oficina</x:v>
      </x:c>
      <x:c r="M13" s="26" t="n">
        <x:v>4</x:v>
      </x:c>
      <x:c r="N13" s="24" t="n">
        <x:v>975</x:v>
      </x:c>
      <x:c r="O13" s="24" t="n">
        <x:v>0</x:v>
      </x:c>
      <x:c r="P13" s="24" t="n">
        <x:v>3900</x:v>
      </x:c>
    </x:row>
    <x:row r="14">
      <x:c r="A14" t="str">
        <x:v>F-2024-0005</x:v>
      </x:c>
      <x:c r="B14" s="22" t="n">
        <x:v>45553</x:v>
      </x:c>
      <x:c r="C14" t="n">
        <x:v>2024</x:v>
      </x:c>
      <x:c r="D14" t="n">
        <x:v>9</x:v>
      </x:c>
      <x:c r="E14" t="str">
        <x:v>San Pedro de Macorís</x:v>
      </x:c>
      <x:c r="F14" t="str">
        <x:v>San Pedro de Macorís</x:v>
      </x:c>
      <x:c r="G14" t="str">
        <x:v>Higuamo</x:v>
      </x:c>
      <x:c r="H14" t="str">
        <x:v>Cliente Gobierno 001</x:v>
      </x:c>
      <x:c r="I14" t="str">
        <x:v>Institucional</x:v>
      </x:c>
      <x:c r="J14" t="n">
        <x:v>4</x:v>
      </x:c>
      <x:c r="K14" t="str">
        <x:v>PRODUCTO 4</x:v>
      </x:c>
      <x:c r="L14" t="str">
        <x:v>Electrónica</x:v>
      </x:c>
      <x:c r="M14" s="26" t="n">
        <x:v>2</x:v>
      </x:c>
      <x:c r="N14" s="24" t="n">
        <x:v>2100</x:v>
      </x:c>
      <x:c r="O14" s="24" t="n">
        <x:v>200</x:v>
      </x:c>
      <x:c r="P14" s="24" t="n">
        <x:v>4000</x:v>
      </x:c>
    </x:row>
    <x:row r="15">
      <x:c r="A15" t="str">
        <x:v>F-2024-0006</x:v>
      </x:c>
      <x:c r="B15" s="22" t="n">
        <x:v>45633</x:v>
      </x:c>
      <x:c r="C15" t="n">
        <x:v>2024</x:v>
      </x:c>
      <x:c r="D15" t="n">
        <x:v>12</x:v>
      </x:c>
      <x:c r="E15" t="str">
        <x:v>Barahona</x:v>
      </x:c>
      <x:c r="F15" t="str">
        <x:v>Barahona</x:v>
      </x:c>
      <x:c r="G15" t="str">
        <x:v>Enriquillo</x:v>
      </x:c>
      <x:c r="H15" t="str">
        <x:v>Cliente Corporativo Sur</x:v>
      </x:c>
      <x:c r="I15" t="str">
        <x:v>Corporativo</x:v>
      </x:c>
      <x:c r="J15" t="n">
        <x:v>103</x:v>
      </x:c>
      <x:c r="K15" t="str">
        <x:v>PRODUCTO 103</x:v>
      </x:c>
      <x:c r="L15" t="str">
        <x:v>Hogar</x:v>
      </x:c>
      <x:c r="M15" s="26" t="n">
        <x:v>3</x:v>
      </x:c>
      <x:c r="N15" s="24" t="n">
        <x:v>720</x:v>
      </x:c>
      <x:c r="O15" s="24" t="n">
        <x:v>0</x:v>
      </x:c>
      <x:c r="P15" s="24" t="n">
        <x:v>2160</x:v>
      </x:c>
    </x:row>
    <x:row r="16">
      <x:c r="A16" t="str">
        <x:v>F-2024-0006</x:v>
      </x:c>
      <x:c r="B16" s="22" t="n">
        <x:v>45633</x:v>
      </x:c>
      <x:c r="C16" t="n">
        <x:v>2024</x:v>
      </x:c>
      <x:c r="D16" t="n">
        <x:v>12</x:v>
      </x:c>
      <x:c r="E16" t="str">
        <x:v>Barahona</x:v>
      </x:c>
      <x:c r="F16" t="str">
        <x:v>Barahona</x:v>
      </x:c>
      <x:c r="G16" t="str">
        <x:v>Enriquillo</x:v>
      </x:c>
      <x:c r="H16" t="str">
        <x:v>Cliente Corporativo Sur</x:v>
      </x:c>
      <x:c r="I16" t="str">
        <x:v>Corporativo</x:v>
      </x:c>
      <x:c r="J16" t="n">
        <x:v>100</x:v>
      </x:c>
      <x:c r="K16" t="str">
        <x:v>PRODUCTO 100</x:v>
      </x:c>
      <x:c r="L16" t="str">
        <x:v>Especial</x:v>
      </x:c>
      <x:c r="M16" s="26" t="n">
        <x:v>1</x:v>
      </x:c>
      <x:c r="N16" s="24" t="n">
        <x:v>3500</x:v>
      </x:c>
      <x:c r="O16" s="24" t="n">
        <x:v>0</x:v>
      </x:c>
      <x:c r="P16" s="24" t="n">
        <x:v>3500</x:v>
      </x:c>
    </x:row>
    <x:row r="17">
      <x:c r="A17" t="str">
        <x:v>F-2025-0001</x:v>
      </x:c>
      <x:c r="B17" s="22" t="n">
        <x:v>45667</x:v>
      </x:c>
      <x:c r="C17" t="n">
        <x:v>2025</x:v>
      </x:c>
      <x:c r="D17" t="n">
        <x:v>1</x:v>
      </x:c>
      <x:c r="E17" t="str">
        <x:v>Santo Domingo</x:v>
      </x:c>
      <x:c r="F17" t="str">
        <x:v>Santo Domingo</x:v>
      </x:c>
      <x:c r="G17" t="str">
        <x:v>Ozama</x:v>
      </x:c>
      <x:c r="H17" t="str">
        <x:v>Cliente Corporativo Norte</x:v>
      </x:c>
      <x:c r="I17" t="str">
        <x:v>Corporativo</x:v>
      </x:c>
      <x:c r="J17" t="n">
        <x:v>1</x:v>
      </x:c>
      <x:c r="K17" t="str">
        <x:v>PRODUCTO 1</x:v>
      </x:c>
      <x:c r="L17" t="str">
        <x:v>Tecnología</x:v>
      </x:c>
      <x:c r="M17" s="26" t="n">
        <x:v>6</x:v>
      </x:c>
      <x:c r="N17" s="24" t="n">
        <x:v>1250</x:v>
      </x:c>
      <x:c r="O17" s="24" t="n">
        <x:v>0</x:v>
      </x:c>
      <x:c r="P17" s="24" t="n">
        <x:v>7500</x:v>
      </x:c>
    </x:row>
    <x:row r="18">
      <x:c r="A18" t="str">
        <x:v>F-2025-0001</x:v>
      </x:c>
      <x:c r="B18" s="22" t="n">
        <x:v>45667</x:v>
      </x:c>
      <x:c r="C18" t="n">
        <x:v>2025</x:v>
      </x:c>
      <x:c r="D18" t="n">
        <x:v>1</x:v>
      </x:c>
      <x:c r="E18" t="str">
        <x:v>Santo Domingo</x:v>
      </x:c>
      <x:c r="F18" t="str">
        <x:v>Santo Domingo</x:v>
      </x:c>
      <x:c r="G18" t="str">
        <x:v>Ozama</x:v>
      </x:c>
      <x:c r="H18" t="str">
        <x:v>Cliente Corporativo Norte</x:v>
      </x:c>
      <x:c r="I18" t="str">
        <x:v>Corporativo</x:v>
      </x:c>
      <x:c r="J18" t="n">
        <x:v>4</x:v>
      </x:c>
      <x:c r="K18" t="str">
        <x:v>PRODUCTO 4</x:v>
      </x:c>
      <x:c r="L18" t="str">
        <x:v>Electrónica</x:v>
      </x:c>
      <x:c r="M18" s="26" t="n">
        <x:v>2</x:v>
      </x:c>
      <x:c r="N18" s="24" t="n">
        <x:v>2100</x:v>
      </x:c>
      <x:c r="O18" s="24" t="n">
        <x:v>0</x:v>
      </x:c>
      <x:c r="P18" s="24" t="n">
        <x:v>4200</x:v>
      </x:c>
    </x:row>
    <x:row r="19">
      <x:c r="A19" t="str">
        <x:v>F-2025-0002</x:v>
      </x:c>
      <x:c r="B19" s="22" t="n">
        <x:v>45702</x:v>
      </x:c>
      <x:c r="C19" t="n">
        <x:v>2025</x:v>
      </x:c>
      <x:c r="D19" t="n">
        <x:v>2</x:v>
      </x:c>
      <x:c r="E19" t="str">
        <x:v>Santiago</x:v>
      </x:c>
      <x:c r="F19" t="str">
        <x:v>Santiago</x:v>
      </x:c>
      <x:c r="G19" t="str">
        <x:v>Cibao Norte</x:v>
      </x:c>
      <x:c r="H19" t="str">
        <x:v>Distribuidora Capital</x:v>
      </x:c>
      <x:c r="I19" t="str">
        <x:v>Distribuidor</x:v>
      </x:c>
      <x:c r="J19" t="n">
        <x:v>2</x:v>
      </x:c>
      <x:c r="K19" t="str">
        <x:v>PRODUCTO 2</x:v>
      </x:c>
      <x:c r="L19" t="str">
        <x:v>Oficina</x:v>
      </x:c>
      <x:c r="M19" s="26" t="n">
        <x:v>8</x:v>
      </x:c>
      <x:c r="N19" s="24" t="n">
        <x:v>875</x:v>
      </x:c>
      <x:c r="O19" s="24" t="n">
        <x:v>300</x:v>
      </x:c>
      <x:c r="P19" s="24" t="n">
        <x:v>6700</x:v>
      </x:c>
    </x:row>
    <x:row r="20">
      <x:c r="A20" t="str">
        <x:v>F-2025-0002</x:v>
      </x:c>
      <x:c r="B20" s="22" t="n">
        <x:v>45702</x:v>
      </x:c>
      <x:c r="C20" t="n">
        <x:v>2025</x:v>
      </x:c>
      <x:c r="D20" t="n">
        <x:v>2</x:v>
      </x:c>
      <x:c r="E20" t="str">
        <x:v>Santiago</x:v>
      </x:c>
      <x:c r="F20" t="str">
        <x:v>Santiago</x:v>
      </x:c>
      <x:c r="G20" t="str">
        <x:v>Cibao Norte</x:v>
      </x:c>
      <x:c r="H20" t="str">
        <x:v>Distribuidora Capital</x:v>
      </x:c>
      <x:c r="I20" t="str">
        <x:v>Distribuidor</x:v>
      </x:c>
      <x:c r="J20" t="n">
        <x:v>3</x:v>
      </x:c>
      <x:c r="K20" t="str">
        <x:v>PRODUCTO 3</x:v>
      </x:c>
      <x:c r="L20" t="str">
        <x:v>Hogar</x:v>
      </x:c>
      <x:c r="M20" s="26" t="n">
        <x:v>5</x:v>
      </x:c>
      <x:c r="N20" s="24" t="n">
        <x:v>650</x:v>
      </x:c>
      <x:c r="O20" s="24" t="n">
        <x:v>0</x:v>
      </x:c>
      <x:c r="P20" s="24" t="n">
        <x:v>3250</x:v>
      </x:c>
    </x:row>
    <x:row r="21">
      <x:c r="A21" t="str">
        <x:v>F-2025-0003</x:v>
      </x:c>
      <x:c r="B21" s="22" t="n">
        <x:v>45769</x:v>
      </x:c>
      <x:c r="C21" t="n">
        <x:v>2025</x:v>
      </x:c>
      <x:c r="D21" t="n">
        <x:v>4</x:v>
      </x:c>
      <x:c r="E21" t="str">
        <x:v>Higüey</x:v>
      </x:c>
      <x:c r="F21" t="str">
        <x:v>La Altagracia</x:v>
      </x:c>
      <x:c r="G21" t="str">
        <x:v>Yuma</x:v>
      </x:c>
      <x:c r="H21" t="str">
        <x:v>Comercial del Este</x:v>
      </x:c>
      <x:c r="I21" t="str">
        <x:v>Distribuidor</x:v>
      </x:c>
      <x:c r="J21" t="n">
        <x:v>100</x:v>
      </x:c>
      <x:c r="K21" t="str">
        <x:v>PRODUCTO 100</x:v>
      </x:c>
      <x:c r="L21" t="str">
        <x:v>Especial</x:v>
      </x:c>
      <x:c r="M21" s="26" t="n">
        <x:v>3</x:v>
      </x:c>
      <x:c r="N21" s="24" t="n">
        <x:v>3500</x:v>
      </x:c>
      <x:c r="O21" s="24" t="n">
        <x:v>500</x:v>
      </x:c>
      <x:c r="P21" s="24" t="n">
        <x:v>10000</x:v>
      </x:c>
    </x:row>
    <x:row r="22">
      <x:c r="A22" t="str">
        <x:v>F-2025-0003</x:v>
      </x:c>
      <x:c r="B22" s="22" t="n">
        <x:v>45769</x:v>
      </x:c>
      <x:c r="C22" t="n">
        <x:v>2025</x:v>
      </x:c>
      <x:c r="D22" t="n">
        <x:v>4</x:v>
      </x:c>
      <x:c r="E22" t="str">
        <x:v>Higüey</x:v>
      </x:c>
      <x:c r="F22" t="str">
        <x:v>La Altagracia</x:v>
      </x:c>
      <x:c r="G22" t="str">
        <x:v>Yuma</x:v>
      </x:c>
      <x:c r="H22" t="str">
        <x:v>Comercial del Este</x:v>
      </x:c>
      <x:c r="I22" t="str">
        <x:v>Distribuidor</x:v>
      </x:c>
      <x:c r="J22" t="n">
        <x:v>101</x:v>
      </x:c>
      <x:c r="K22" t="str">
        <x:v>PRODUCTO 101</x:v>
      </x:c>
      <x:c r="L22" t="str">
        <x:v>Tecnología</x:v>
      </x:c>
      <x:c r="M22" s="26" t="n">
        <x:v>4</x:v>
      </x:c>
      <x:c r="N22" s="24" t="n">
        <x:v>1850</x:v>
      </x:c>
      <x:c r="O22" s="24" t="n">
        <x:v>100</x:v>
      </x:c>
      <x:c r="P22" s="24" t="n">
        <x:v>7300</x:v>
      </x:c>
    </x:row>
    <x:row r="23">
      <x:c r="A23" t="str">
        <x:v>F-2025-0004</x:v>
      </x:c>
      <x:c r="B23" s="22" t="n">
        <x:v>45838</x:v>
      </x:c>
      <x:c r="C23" t="n">
        <x:v>2025</x:v>
      </x:c>
      <x:c r="D23" t="n">
        <x:v>6</x:v>
      </x:c>
      <x:c r="E23" t="str">
        <x:v>San Francisco de Macorís</x:v>
      </x:c>
      <x:c r="F23" t="str">
        <x:v>Duarte</x:v>
      </x:c>
      <x:c r="G23" t="str">
        <x:v>Cibao Nordeste</x:v>
      </x:c>
      <x:c r="H23" t="str">
        <x:v>Cliente Minorista 002</x:v>
      </x:c>
      <x:c r="I23" t="str">
        <x:v>Minorista</x:v>
      </x:c>
      <x:c r="J23" t="n">
        <x:v>102</x:v>
      </x:c>
      <x:c r="K23" t="str">
        <x:v>PRODUCTO 102</x:v>
      </x:c>
      <x:c r="L23" t="str">
        <x:v>Oficina</x:v>
      </x:c>
      <x:c r="M23" s="26" t="n">
        <x:v>7</x:v>
      </x:c>
      <x:c r="N23" s="24" t="n">
        <x:v>975</x:v>
      </x:c>
      <x:c r="O23" s="24" t="n">
        <x:v>0</x:v>
      </x:c>
      <x:c r="P23" s="24" t="n">
        <x:v>6825</x:v>
      </x:c>
    </x:row>
    <x:row r="24">
      <x:c r="A24" t="str">
        <x:v>F-2025-0004</x:v>
      </x:c>
      <x:c r="B24" s="22" t="n">
        <x:v>45838</x:v>
      </x:c>
      <x:c r="C24" t="n">
        <x:v>2025</x:v>
      </x:c>
      <x:c r="D24" t="n">
        <x:v>6</x:v>
      </x:c>
      <x:c r="E24" t="str">
        <x:v>San Francisco de Macorís</x:v>
      </x:c>
      <x:c r="F24" t="str">
        <x:v>Duarte</x:v>
      </x:c>
      <x:c r="G24" t="str">
        <x:v>Cibao Nordeste</x:v>
      </x:c>
      <x:c r="H24" t="str">
        <x:v>Cliente Minorista 002</x:v>
      </x:c>
      <x:c r="I24" t="str">
        <x:v>Minorista</x:v>
      </x:c>
      <x:c r="J24" t="n">
        <x:v>103</x:v>
      </x:c>
      <x:c r="K24" t="str">
        <x:v>PRODUCTO 103</x:v>
      </x:c>
      <x:c r="L24" t="str">
        <x:v>Hogar</x:v>
      </x:c>
      <x:c r="M24" s="26" t="n">
        <x:v>4</x:v>
      </x:c>
      <x:c r="N24" s="24" t="n">
        <x:v>720</x:v>
      </x:c>
      <x:c r="O24" s="24" t="n">
        <x:v>0</x:v>
      </x:c>
      <x:c r="P24" s="24" t="n">
        <x:v>2880</x:v>
      </x:c>
    </x:row>
    <x:row r="25">
      <x:c r="A25" t="str">
        <x:v>F-2025-0005</x:v>
      </x:c>
      <x:c r="B25" s="22" t="n">
        <x:v>45885</x:v>
      </x:c>
      <x:c r="C25" t="n">
        <x:v>2025</x:v>
      </x:c>
      <x:c r="D25" t="n">
        <x:v>8</x:v>
      </x:c>
      <x:c r="E25" t="str">
        <x:v>Puerto Plata</x:v>
      </x:c>
      <x:c r="F25" t="str">
        <x:v>Puerto Plata</x:v>
      </x:c>
      <x:c r="G25" t="str">
        <x:v>Cibao Norte</x:v>
      </x:c>
      <x:c r="H25" t="str">
        <x:v>Cliente Gobierno 002</x:v>
      </x:c>
      <x:c r="I25" t="str">
        <x:v>Institucional</x:v>
      </x:c>
      <x:c r="J25" t="n">
        <x:v>4</x:v>
      </x:c>
      <x:c r="K25" t="str">
        <x:v>PRODUCTO 4</x:v>
      </x:c>
      <x:c r="L25" t="str">
        <x:v>Electrónica</x:v>
      </x:c>
      <x:c r="M25" s="26" t="n">
        <x:v>5</x:v>
      </x:c>
      <x:c r="N25" s="24" t="n">
        <x:v>2100</x:v>
      </x:c>
      <x:c r="O25" s="24" t="n">
        <x:v>350</x:v>
      </x:c>
      <x:c r="P25" s="24" t="n">
        <x:v>10150</x:v>
      </x:c>
    </x:row>
    <x:row r="26">
      <x:c r="A26" t="str">
        <x:v>F-2025-0005</x:v>
      </x:c>
      <x:c r="B26" s="22" t="n">
        <x:v>45885</x:v>
      </x:c>
      <x:c r="C26" t="n">
        <x:v>2025</x:v>
      </x:c>
      <x:c r="D26" t="n">
        <x:v>8</x:v>
      </x:c>
      <x:c r="E26" t="str">
        <x:v>Puerto Plata</x:v>
      </x:c>
      <x:c r="F26" t="str">
        <x:v>Puerto Plata</x:v>
      </x:c>
      <x:c r="G26" t="str">
        <x:v>Cibao Norte</x:v>
      </x:c>
      <x:c r="H26" t="str">
        <x:v>Cliente Gobierno 002</x:v>
      </x:c>
      <x:c r="I26" t="str">
        <x:v>Institucional</x:v>
      </x:c>
      <x:c r="J26" t="n">
        <x:v>1</x:v>
      </x:c>
      <x:c r="K26" t="str">
        <x:v>PRODUCTO 1</x:v>
      </x:c>
      <x:c r="L26" t="str">
        <x:v>Tecnología</x:v>
      </x:c>
      <x:c r="M26" s="26" t="n">
        <x:v>2</x:v>
      </x:c>
      <x:c r="N26" s="24" t="n">
        <x:v>1250</x:v>
      </x:c>
      <x:c r="O26" s="24" t="n">
        <x:v>0</x:v>
      </x:c>
      <x:c r="P26" s="24" t="n">
        <x:v>2500</x:v>
      </x:c>
    </x:row>
    <x:row r="27">
      <x:c r="A27" t="str">
        <x:v>F-2025-0006</x:v>
      </x:c>
      <x:c r="B27" s="22" t="n">
        <x:v>45939</x:v>
      </x:c>
      <x:c r="C27" t="n">
        <x:v>2025</x:v>
      </x:c>
      <x:c r="D27" t="n">
        <x:v>10</x:v>
      </x:c>
      <x:c r="E27" t="str">
        <x:v>La Romana</x:v>
      </x:c>
      <x:c r="F27" t="str">
        <x:v>La Romana</x:v>
      </x:c>
      <x:c r="G27" t="str">
        <x:v>Yuma</x:v>
      </x:c>
      <x:c r="H27" t="str">
        <x:v>Cliente Corporativo Sur</x:v>
      </x:c>
      <x:c r="I27" t="str">
        <x:v>Corporativo</x:v>
      </x:c>
      <x:c r="J27" t="n">
        <x:v>2</x:v>
      </x:c>
      <x:c r="K27" t="str">
        <x:v>PRODUCTO 2</x:v>
      </x:c>
      <x:c r="L27" t="str">
        <x:v>Oficina</x:v>
      </x:c>
      <x:c r="M27" s="26" t="n">
        <x:v>10</x:v>
      </x:c>
      <x:c r="N27" s="24" t="n">
        <x:v>875</x:v>
      </x:c>
      <x:c r="O27" s="24" t="n">
        <x:v>250</x:v>
      </x:c>
      <x:c r="P27" s="24" t="n">
        <x:v>8500</x:v>
      </x:c>
    </x:row>
    <x:row r="28">
      <x:c r="A28" t="str">
        <x:v>F-2025-0006</x:v>
      </x:c>
      <x:c r="B28" s="22" t="n">
        <x:v>45939</x:v>
      </x:c>
      <x:c r="C28" t="n">
        <x:v>2025</x:v>
      </x:c>
      <x:c r="D28" t="n">
        <x:v>10</x:v>
      </x:c>
      <x:c r="E28" t="str">
        <x:v>La Romana</x:v>
      </x:c>
      <x:c r="F28" t="str">
        <x:v>La Romana</x:v>
      </x:c>
      <x:c r="G28" t="str">
        <x:v>Yuma</x:v>
      </x:c>
      <x:c r="H28" t="str">
        <x:v>Cliente Corporativo Sur</x:v>
      </x:c>
      <x:c r="I28" t="str">
        <x:v>Corporativo</x:v>
      </x:c>
      <x:c r="J28" t="n">
        <x:v>100</x:v>
      </x:c>
      <x:c r="K28" t="str">
        <x:v>PRODUCTO 100</x:v>
      </x:c>
      <x:c r="L28" t="str">
        <x:v>Especial</x:v>
      </x:c>
      <x:c r="M28" s="26" t="n">
        <x:v>1</x:v>
      </x:c>
      <x:c r="N28" s="24" t="n">
        <x:v>3500</x:v>
      </x:c>
      <x:c r="O28" s="24" t="n">
        <x:v>0</x:v>
      </x:c>
      <x:c r="P28" s="24" t="n">
        <x:v>3500</x:v>
      </x:c>
    </x:row>
    <x:row r="29">
      <x:c r="A29" t="str">
        <x:v>F-2025-0007</x:v>
      </x:c>
      <x:c r="B29" s="22" t="n">
        <x:v>45989</x:v>
      </x:c>
      <x:c r="C29" t="n">
        <x:v>2025</x:v>
      </x:c>
      <x:c r="D29" t="n">
        <x:v>11</x:v>
      </x:c>
      <x:c r="E29" t="str">
        <x:v>Santo Domingo</x:v>
      </x:c>
      <x:c r="F29" t="str">
        <x:v>Santo Domingo</x:v>
      </x:c>
      <x:c r="G29" t="str">
        <x:v>Ozama</x:v>
      </x:c>
      <x:c r="H29" t="str">
        <x:v>Cliente Minorista 001</x:v>
      </x:c>
      <x:c r="I29" t="str">
        <x:v>Minorista</x:v>
      </x:c>
      <x:c r="J29" t="n">
        <x:v>3</x:v>
      </x:c>
      <x:c r="K29" t="str">
        <x:v>PRODUCTO 3</x:v>
      </x:c>
      <x:c r="L29" t="str">
        <x:v>Hogar</x:v>
      </x:c>
      <x:c r="M29" s="26" t="n">
        <x:v>9</x:v>
      </x:c>
      <x:c r="N29" s="24" t="n">
        <x:v>650</x:v>
      </x:c>
      <x:c r="O29" s="24" t="n">
        <x:v>0</x:v>
      </x:c>
      <x:c r="P29" s="24" t="n">
        <x:v>5850</x:v>
      </x:c>
    </x:row>
    <x:row r="30">
      <x:c r="A30" t="str">
        <x:v>F-2025-0007</x:v>
      </x:c>
      <x:c r="B30" s="22" t="n">
        <x:v>45989</x:v>
      </x:c>
      <x:c r="C30" t="n">
        <x:v>2025</x:v>
      </x:c>
      <x:c r="D30" t="n">
        <x:v>11</x:v>
      </x:c>
      <x:c r="E30" t="str">
        <x:v>Santo Domingo</x:v>
      </x:c>
      <x:c r="F30" t="str">
        <x:v>Santo Domingo</x:v>
      </x:c>
      <x:c r="G30" t="str">
        <x:v>Ozama</x:v>
      </x:c>
      <x:c r="H30" t="str">
        <x:v>Cliente Minorista 001</x:v>
      </x:c>
      <x:c r="I30" t="str">
        <x:v>Minorista</x:v>
      </x:c>
      <x:c r="J30" t="n">
        <x:v>101</x:v>
      </x:c>
      <x:c r="K30" t="str">
        <x:v>PRODUCTO 101</x:v>
      </x:c>
      <x:c r="L30" t="str">
        <x:v>Tecnología</x:v>
      </x:c>
      <x:c r="M30" s="26" t="n">
        <x:v>2</x:v>
      </x:c>
      <x:c r="N30" s="24" t="n">
        <x:v>1850</x:v>
      </x:c>
      <x:c r="O30" s="24" t="n">
        <x:v>0</x:v>
      </x:c>
      <x:c r="P30" s="24" t="n">
        <x:v>3700</x:v>
      </x:c>
    </x:row>
    <x:row r="31">
      <x:c r="A31" t="str">
        <x:v>F-2025-0008</x:v>
      </x:c>
      <x:c r="B31" s="22" t="n">
        <x:v>46010</x:v>
      </x:c>
      <x:c r="C31" t="n">
        <x:v>2025</x:v>
      </x:c>
      <x:c r="D31" t="n">
        <x:v>12</x:v>
      </x:c>
      <x:c r="E31" t="str">
        <x:v>Santiago</x:v>
      </x:c>
      <x:c r="F31" t="str">
        <x:v>Santiago</x:v>
      </x:c>
      <x:c r="G31" t="str">
        <x:v>Cibao Norte</x:v>
      </x:c>
      <x:c r="H31" t="str">
        <x:v>Cliente Gobierno 001</x:v>
      </x:c>
      <x:c r="I31" t="str">
        <x:v>Institucional</x:v>
      </x:c>
      <x:c r="J31" t="n">
        <x:v>102</x:v>
      </x:c>
      <x:c r="K31" t="str">
        <x:v>PRODUCTO 102</x:v>
      </x:c>
      <x:c r="L31" t="str">
        <x:v>Oficina</x:v>
      </x:c>
      <x:c r="M31" s="26" t="n">
        <x:v>6</x:v>
      </x:c>
      <x:c r="N31" s="24" t="n">
        <x:v>975</x:v>
      </x:c>
      <x:c r="O31" s="24" t="n">
        <x:v>100</x:v>
      </x:c>
      <x:c r="P31" s="24" t="n">
        <x:v>5750</x:v>
      </x:c>
    </x:row>
    <x:row r="32">
      <x:c r="A32" t="str">
        <x:v>F-2025-0008</x:v>
      </x:c>
      <x:c r="B32" s="22" t="n">
        <x:v>46010</x:v>
      </x:c>
      <x:c r="C32" t="n">
        <x:v>2025</x:v>
      </x:c>
      <x:c r="D32" t="n">
        <x:v>12</x:v>
      </x:c>
      <x:c r="E32" t="str">
        <x:v>Santiago</x:v>
      </x:c>
      <x:c r="F32" t="str">
        <x:v>Santiago</x:v>
      </x:c>
      <x:c r="G32" t="str">
        <x:v>Cibao Norte</x:v>
      </x:c>
      <x:c r="H32" t="str">
        <x:v>Cliente Gobierno 001</x:v>
      </x:c>
      <x:c r="I32" t="str">
        <x:v>Institucional</x:v>
      </x:c>
      <x:c r="J32" t="n">
        <x:v>4</x:v>
      </x:c>
      <x:c r="K32" t="str">
        <x:v>PRODUCTO 4</x:v>
      </x:c>
      <x:c r="L32" t="str">
        <x:v>Electrónica</x:v>
      </x:c>
      <x:c r="M32" s="26" t="n">
        <x:v>3</x:v>
      </x:c>
      <x:c r="N32" s="24" t="n">
        <x:v>2100</x:v>
      </x:c>
      <x:c r="O32" s="24" t="n">
        <x:v>0</x:v>
      </x:c>
      <x:c r="P32" s="24" t="n">
        <x:v>6300</x:v>
      </x:c>
    </x:row>
    <x:row r="33">
      <x:c r="A33" t="str">
        <x:v>F-ACT-0001</x:v>
      </x:c>
      <x:c r="B33" s="22" t="n">
        <x:v>46183</x:v>
      </x:c>
      <x:c r="C33" t="n">
        <x:v>2026</x:v>
      </x:c>
      <x:c r="D33" t="n">
        <x:v>6</x:v>
      </x:c>
      <x:c r="E33" t="str">
        <x:v>Santo Domingo</x:v>
      </x:c>
      <x:c r="F33" t="str">
        <x:v>Santo Domingo</x:v>
      </x:c>
      <x:c r="G33" t="str">
        <x:v>Ozama</x:v>
      </x:c>
      <x:c r="H33" t="str">
        <x:v>Cliente Corporativo Norte</x:v>
      </x:c>
      <x:c r="I33" t="str">
        <x:v>Corporativo</x:v>
      </x:c>
      <x:c r="J33" t="n">
        <x:v>1</x:v>
      </x:c>
      <x:c r="K33" t="str">
        <x:v>PRODUCTO 1</x:v>
      </x:c>
      <x:c r="L33" t="str">
        <x:v>Tecnología</x:v>
      </x:c>
      <x:c r="M33" s="26" t="n">
        <x:v>5</x:v>
      </x:c>
      <x:c r="N33" s="24" t="n">
        <x:v>1250</x:v>
      </x:c>
      <x:c r="O33" s="24" t="n">
        <x:v>0</x:v>
      </x:c>
      <x:c r="P33" s="24" t="n">
        <x:v>6250</x:v>
      </x:c>
    </x:row>
    <x:row r="34">
      <x:c r="A34" t="str">
        <x:v>F-ACT-0001</x:v>
      </x:c>
      <x:c r="B34" s="22" t="n">
        <x:v>46183</x:v>
      </x:c>
      <x:c r="C34" t="n">
        <x:v>2026</x:v>
      </x:c>
      <x:c r="D34" t="n">
        <x:v>6</x:v>
      </x:c>
      <x:c r="E34" t="str">
        <x:v>Santo Domingo</x:v>
      </x:c>
      <x:c r="F34" t="str">
        <x:v>Santo Domingo</x:v>
      </x:c>
      <x:c r="G34" t="str">
        <x:v>Ozama</x:v>
      </x:c>
      <x:c r="H34" t="str">
        <x:v>Cliente Corporativo Norte</x:v>
      </x:c>
      <x:c r="I34" t="str">
        <x:v>Corporativo</x:v>
      </x:c>
      <x:c r="J34" t="n">
        <x:v>100</x:v>
      </x:c>
      <x:c r="K34" t="str">
        <x:v>PRODUCTO 100</x:v>
      </x:c>
      <x:c r="L34" t="str">
        <x:v>Especial</x:v>
      </x:c>
      <x:c r="M34" s="26" t="n">
        <x:v>2</x:v>
      </x:c>
      <x:c r="N34" s="24" t="n">
        <x:v>3500</x:v>
      </x:c>
      <x:c r="O34" s="24" t="n">
        <x:v>300</x:v>
      </x:c>
      <x:c r="P34" s="24" t="n">
        <x:v>6700</x:v>
      </x:c>
    </x:row>
    <x:row r="35">
      <x:c r="A35" t="str">
        <x:v>F-ACT-0002</x:v>
      </x:c>
      <x:c r="B35" s="22" t="n">
        <x:v>46171</x:v>
      </x:c>
      <x:c r="C35" t="n">
        <x:v>2026</x:v>
      </x:c>
      <x:c r="D35" t="n">
        <x:v>5</x:v>
      </x:c>
      <x:c r="E35" t="str">
        <x:v>Santiago</x:v>
      </x:c>
      <x:c r="F35" t="str">
        <x:v>Santiago</x:v>
      </x:c>
      <x:c r="G35" t="str">
        <x:v>Cibao Norte</x:v>
      </x:c>
      <x:c r="H35" t="str">
        <x:v>Distribuidora Capital</x:v>
      </x:c>
      <x:c r="I35" t="str">
        <x:v>Distribuidor</x:v>
      </x:c>
      <x:c r="J35" t="n">
        <x:v>2</x:v>
      </x:c>
      <x:c r="K35" t="str">
        <x:v>PRODUCTO 2</x:v>
      </x:c>
      <x:c r="L35" t="str">
        <x:v>Oficina</x:v>
      </x:c>
      <x:c r="M35" s="26" t="n">
        <x:v>7</x:v>
      </x:c>
      <x:c r="N35" s="24" t="n">
        <x:v>875</x:v>
      </x:c>
      <x:c r="O35" s="24" t="n">
        <x:v>0</x:v>
      </x:c>
      <x:c r="P35" s="24" t="n">
        <x:v>6125</x:v>
      </x:c>
    </x:row>
    <x:row r="36">
      <x:c r="A36" t="str">
        <x:v>F-ACT-0002</x:v>
      </x:c>
      <x:c r="B36" s="22" t="n">
        <x:v>46171</x:v>
      </x:c>
      <x:c r="C36" t="n">
        <x:v>2026</x:v>
      </x:c>
      <x:c r="D36" t="n">
        <x:v>5</x:v>
      </x:c>
      <x:c r="E36" t="str">
        <x:v>Santiago</x:v>
      </x:c>
      <x:c r="F36" t="str">
        <x:v>Santiago</x:v>
      </x:c>
      <x:c r="G36" t="str">
        <x:v>Cibao Norte</x:v>
      </x:c>
      <x:c r="H36" t="str">
        <x:v>Distribuidora Capital</x:v>
      </x:c>
      <x:c r="I36" t="str">
        <x:v>Distribuidor</x:v>
      </x:c>
      <x:c r="J36" t="n">
        <x:v>4</x:v>
      </x:c>
      <x:c r="K36" t="str">
        <x:v>PRODUCTO 4</x:v>
      </x:c>
      <x:c r="L36" t="str">
        <x:v>Electrónica</x:v>
      </x:c>
      <x:c r="M36" s="26" t="n">
        <x:v>2</x:v>
      </x:c>
      <x:c r="N36" s="24" t="n">
        <x:v>2100</x:v>
      </x:c>
      <x:c r="O36" s="24" t="n">
        <x:v>100</x:v>
      </x:c>
      <x:c r="P36" s="24" t="n">
        <x:v>4100</x:v>
      </x:c>
    </x:row>
    <x:row r="37">
      <x:c r="A37" t="str">
        <x:v>F-ACT-0003</x:v>
      </x:c>
      <x:c r="B37" s="22" t="n">
        <x:v>46160</x:v>
      </x:c>
      <x:c r="C37" t="n">
        <x:v>2026</x:v>
      </x:c>
      <x:c r="D37" t="n">
        <x:v>5</x:v>
      </x:c>
      <x:c r="E37" t="str">
        <x:v>La Romana</x:v>
      </x:c>
      <x:c r="F37" t="str">
        <x:v>La Romana</x:v>
      </x:c>
      <x:c r="G37" t="str">
        <x:v>Yuma</x:v>
      </x:c>
      <x:c r="H37" t="str">
        <x:v>Comercial del Este</x:v>
      </x:c>
      <x:c r="I37" t="str">
        <x:v>Distribuidor</x:v>
      </x:c>
      <x:c r="J37" t="n">
        <x:v>3</x:v>
      </x:c>
      <x:c r="K37" t="str">
        <x:v>PRODUCTO 3</x:v>
      </x:c>
      <x:c r="L37" t="str">
        <x:v>Hogar</x:v>
      </x:c>
      <x:c r="M37" s="26" t="n">
        <x:v>6</x:v>
      </x:c>
      <x:c r="N37" s="24" t="n">
        <x:v>650</x:v>
      </x:c>
      <x:c r="O37" s="24" t="n">
        <x:v>0</x:v>
      </x:c>
      <x:c r="P37" s="24" t="n">
        <x:v>3900</x:v>
      </x:c>
    </x:row>
    <x:row r="38">
      <x:c r="A38" t="str">
        <x:v>F-ACT-0003</x:v>
      </x:c>
      <x:c r="B38" s="22" t="n">
        <x:v>46160</x:v>
      </x:c>
      <x:c r="C38" t="n">
        <x:v>2026</x:v>
      </x:c>
      <x:c r="D38" t="n">
        <x:v>5</x:v>
      </x:c>
      <x:c r="E38" t="str">
        <x:v>La Romana</x:v>
      </x:c>
      <x:c r="F38" t="str">
        <x:v>La Romana</x:v>
      </x:c>
      <x:c r="G38" t="str">
        <x:v>Yuma</x:v>
      </x:c>
      <x:c r="H38" t="str">
        <x:v>Comercial del Este</x:v>
      </x:c>
      <x:c r="I38" t="str">
        <x:v>Distribuidor</x:v>
      </x:c>
      <x:c r="J38" t="n">
        <x:v>101</x:v>
      </x:c>
      <x:c r="K38" t="str">
        <x:v>PRODUCTO 101</x:v>
      </x:c>
      <x:c r="L38" t="str">
        <x:v>Tecnología</x:v>
      </x:c>
      <x:c r="M38" s="26" t="n">
        <x:v>3</x:v>
      </x:c>
      <x:c r="N38" s="24" t="n">
        <x:v>1850</x:v>
      </x:c>
      <x:c r="O38" s="24" t="n">
        <x:v>0</x:v>
      </x:c>
      <x:c r="P38" s="24" t="n">
        <x:v>5550</x:v>
      </x:c>
    </x:row>
    <x:row r="39">
      <x:c r="A39" t="str">
        <x:v>F-ACT-0004</x:v>
      </x:c>
      <x:c r="B39" s="22" t="n">
        <x:v>46147</x:v>
      </x:c>
      <x:c r="C39" t="n">
        <x:v>2026</x:v>
      </x:c>
      <x:c r="D39" t="n">
        <x:v>5</x:v>
      </x:c>
      <x:c r="E39" t="str">
        <x:v>Puerto Plata</x:v>
      </x:c>
      <x:c r="F39" t="str">
        <x:v>Puerto Plata</x:v>
      </x:c>
      <x:c r="G39" t="str">
        <x:v>Cibao Norte</x:v>
      </x:c>
      <x:c r="H39" t="str">
        <x:v>Cliente Minorista 001</x:v>
      </x:c>
      <x:c r="I39" t="str">
        <x:v>Minorista</x:v>
      </x:c>
      <x:c r="J39" t="n">
        <x:v>102</x:v>
      </x:c>
      <x:c r="K39" t="str">
        <x:v>PRODUCTO 102</x:v>
      </x:c>
      <x:c r="L39" t="str">
        <x:v>Oficina</x:v>
      </x:c>
      <x:c r="M39" s="26" t="n">
        <x:v>8</x:v>
      </x:c>
      <x:c r="N39" s="24" t="n">
        <x:v>975</x:v>
      </x:c>
      <x:c r="O39" s="24" t="n">
        <x:v>200</x:v>
      </x:c>
      <x:c r="P39" s="24" t="n">
        <x:v>7600</x:v>
      </x:c>
    </x:row>
    <x:row r="40">
      <x:c r="A40" t="str">
        <x:v>F-ACT-0004</x:v>
      </x:c>
      <x:c r="B40" s="22" t="n">
        <x:v>46147</x:v>
      </x:c>
      <x:c r="C40" t="n">
        <x:v>2026</x:v>
      </x:c>
      <x:c r="D40" t="n">
        <x:v>5</x:v>
      </x:c>
      <x:c r="E40" t="str">
        <x:v>Puerto Plata</x:v>
      </x:c>
      <x:c r="F40" t="str">
        <x:v>Puerto Plata</x:v>
      </x:c>
      <x:c r="G40" t="str">
        <x:v>Cibao Norte</x:v>
      </x:c>
      <x:c r="H40" t="str">
        <x:v>Cliente Minorista 001</x:v>
      </x:c>
      <x:c r="I40" t="str">
        <x:v>Minorista</x:v>
      </x:c>
      <x:c r="J40" t="n">
        <x:v>103</x:v>
      </x:c>
      <x:c r="K40" t="str">
        <x:v>PRODUCTO 103</x:v>
      </x:c>
      <x:c r="L40" t="str">
        <x:v>Hogar</x:v>
      </x:c>
      <x:c r="M40" s="26" t="n">
        <x:v>5</x:v>
      </x:c>
      <x:c r="N40" s="24" t="n">
        <x:v>720</x:v>
      </x:c>
      <x:c r="O40" s="24" t="n">
        <x:v>0</x:v>
      </x:c>
      <x:c r="P40" s="24" t="n">
        <x:v>3600</x:v>
      </x:c>
    </x:row>
    <x:row r="41">
      <x:c r="A41" t="str">
        <x:v>F-ACT-0005</x:v>
      </x:c>
      <x:c r="B41" s="22" t="n">
        <x:v>46135</x:v>
      </x:c>
      <x:c r="C41" t="n">
        <x:v>2026</x:v>
      </x:c>
      <x:c r="D41" t="n">
        <x:v>4</x:v>
      </x:c>
      <x:c r="E41" t="str">
        <x:v>San Pedro de Macorís</x:v>
      </x:c>
      <x:c r="F41" t="str">
        <x:v>San Pedro de Macorís</x:v>
      </x:c>
      <x:c r="G41" t="str">
        <x:v>Higuamo</x:v>
      </x:c>
      <x:c r="H41" t="str">
        <x:v>Cliente Gobierno 001</x:v>
      </x:c>
      <x:c r="I41" t="str">
        <x:v>Institucional</x:v>
      </x:c>
      <x:c r="J41" t="n">
        <x:v>1</x:v>
      </x:c>
      <x:c r="K41" t="str">
        <x:v>PRODUCTO 1</x:v>
      </x:c>
      <x:c r="L41" t="str">
        <x:v>Tecnología</x:v>
      </x:c>
      <x:c r="M41" s="26" t="n">
        <x:v>4</x:v>
      </x:c>
      <x:c r="N41" s="24" t="n">
        <x:v>1250</x:v>
      </x:c>
      <x:c r="O41" s="24" t="n">
        <x:v>0</x:v>
      </x:c>
      <x:c r="P41" s="24" t="n">
        <x:v>5000</x:v>
      </x:c>
    </x:row>
    <x:row r="42">
      <x:c r="A42" t="str">
        <x:v>F-ACT-0005</x:v>
      </x:c>
      <x:c r="B42" s="22" t="n">
        <x:v>46135</x:v>
      </x:c>
      <x:c r="C42" t="n">
        <x:v>2026</x:v>
      </x:c>
      <x:c r="D42" t="n">
        <x:v>4</x:v>
      </x:c>
      <x:c r="E42" t="str">
        <x:v>San Pedro de Macorís</x:v>
      </x:c>
      <x:c r="F42" t="str">
        <x:v>San Pedro de Macorís</x:v>
      </x:c>
      <x:c r="G42" t="str">
        <x:v>Higuamo</x:v>
      </x:c>
      <x:c r="H42" t="str">
        <x:v>Cliente Gobierno 001</x:v>
      </x:c>
      <x:c r="I42" t="str">
        <x:v>Institucional</x:v>
      </x:c>
      <x:c r="J42" t="n">
        <x:v>4</x:v>
      </x:c>
      <x:c r="K42" t="str">
        <x:v>PRODUCTO 4</x:v>
      </x:c>
      <x:c r="L42" t="str">
        <x:v>Electrónica</x:v>
      </x:c>
      <x:c r="M42" s="26" t="n">
        <x:v>3</x:v>
      </x:c>
      <x:c r="N42" s="24" t="n">
        <x:v>2100</x:v>
      </x:c>
      <x:c r="O42" s="24" t="n">
        <x:v>150</x:v>
      </x:c>
      <x:c r="P42" s="24" t="n">
        <x:v>6150</x:v>
      </x:c>
    </x:row>
    <x:row r="43">
      <x:c r="A43" t="str">
        <x:v>F-ACT-0006</x:v>
      </x:c>
      <x:c r="B43" s="22" t="n">
        <x:v>46123</x:v>
      </x:c>
      <x:c r="C43" t="n">
        <x:v>2026</x:v>
      </x:c>
      <x:c r="D43" t="n">
        <x:v>4</x:v>
      </x:c>
      <x:c r="E43" t="str">
        <x:v>Barahona</x:v>
      </x:c>
      <x:c r="F43" t="str">
        <x:v>Barahona</x:v>
      </x:c>
      <x:c r="G43" t="str">
        <x:v>Enriquillo</x:v>
      </x:c>
      <x:c r="H43" t="str">
        <x:v>Cliente Corporativo Sur</x:v>
      </x:c>
      <x:c r="I43" t="str">
        <x:v>Corporativo</x:v>
      </x:c>
      <x:c r="J43" t="n">
        <x:v>100</x:v>
      </x:c>
      <x:c r="K43" t="str">
        <x:v>PRODUCTO 100</x:v>
      </x:c>
      <x:c r="L43" t="str">
        <x:v>Especial</x:v>
      </x:c>
      <x:c r="M43" s="26" t="n">
        <x:v>2</x:v>
      </x:c>
      <x:c r="N43" s="24" t="n">
        <x:v>3500</x:v>
      </x:c>
      <x:c r="O43" s="24" t="n">
        <x:v>0</x:v>
      </x:c>
      <x:c r="P43" s="24" t="n">
        <x:v>7000</x:v>
      </x:c>
    </x:row>
    <x:row r="44">
      <x:c r="A44" t="str">
        <x:v>F-ACT-0006</x:v>
      </x:c>
      <x:c r="B44" s="22" t="n">
        <x:v>46123</x:v>
      </x:c>
      <x:c r="C44" t="n">
        <x:v>2026</x:v>
      </x:c>
      <x:c r="D44" t="n">
        <x:v>4</x:v>
      </x:c>
      <x:c r="E44" t="str">
        <x:v>Barahona</x:v>
      </x:c>
      <x:c r="F44" t="str">
        <x:v>Barahona</x:v>
      </x:c>
      <x:c r="G44" t="str">
        <x:v>Enriquillo</x:v>
      </x:c>
      <x:c r="H44" t="str">
        <x:v>Cliente Corporativo Sur</x:v>
      </x:c>
      <x:c r="I44" t="str">
        <x:v>Corporativo</x:v>
      </x:c>
      <x:c r="J44" t="n">
        <x:v>2</x:v>
      </x:c>
      <x:c r="K44" t="str">
        <x:v>PRODUCTO 2</x:v>
      </x:c>
      <x:c r="L44" t="str">
        <x:v>Oficina</x:v>
      </x:c>
      <x:c r="M44" s="26" t="n">
        <x:v>5</x:v>
      </x:c>
      <x:c r="N44" s="24" t="n">
        <x:v>875</x:v>
      </x:c>
      <x:c r="O44" s="24" t="n">
        <x:v>0</x:v>
      </x:c>
      <x:c r="P44" s="24" t="n">
        <x:v>4375</x:v>
      </x:c>
    </x:row>
    <x:row r="45">
      <x:c r="A45" t="str">
        <x:v>F-ACT-0007</x:v>
      </x:c>
      <x:c r="B45" s="22" t="n">
        <x:v>46112</x:v>
      </x:c>
      <x:c r="C45" t="n">
        <x:v>2026</x:v>
      </x:c>
      <x:c r="D45" t="n">
        <x:v>3</x:v>
      </x:c>
      <x:c r="E45" t="str">
        <x:v>Higüey</x:v>
      </x:c>
      <x:c r="F45" t="str">
        <x:v>La Altagracia</x:v>
      </x:c>
      <x:c r="G45" t="str">
        <x:v>Yuma</x:v>
      </x:c>
      <x:c r="H45" t="str">
        <x:v>Cliente Minorista 002</x:v>
      </x:c>
      <x:c r="I45" t="str">
        <x:v>Minorista</x:v>
      </x:c>
      <x:c r="J45" t="n">
        <x:v>3</x:v>
      </x:c>
      <x:c r="K45" t="str">
        <x:v>PRODUCTO 3</x:v>
      </x:c>
      <x:c r="L45" t="str">
        <x:v>Hogar</x:v>
      </x:c>
      <x:c r="M45" s="26" t="n">
        <x:v>7</x:v>
      </x:c>
      <x:c r="N45" s="24" t="n">
        <x:v>650</x:v>
      </x:c>
      <x:c r="O45" s="24" t="n">
        <x:v>100</x:v>
      </x:c>
      <x:c r="P45" s="24" t="n">
        <x:v>4450</x:v>
      </x:c>
    </x:row>
    <x:row r="46">
      <x:c r="A46" t="str">
        <x:v>F-ACT-0007</x:v>
      </x:c>
      <x:c r="B46" s="22" t="n">
        <x:v>46112</x:v>
      </x:c>
      <x:c r="C46" t="n">
        <x:v>2026</x:v>
      </x:c>
      <x:c r="D46" t="n">
        <x:v>3</x:v>
      </x:c>
      <x:c r="E46" t="str">
        <x:v>Higüey</x:v>
      </x:c>
      <x:c r="F46" t="str">
        <x:v>La Altagracia</x:v>
      </x:c>
      <x:c r="G46" t="str">
        <x:v>Yuma</x:v>
      </x:c>
      <x:c r="H46" t="str">
        <x:v>Cliente Minorista 002</x:v>
      </x:c>
      <x:c r="I46" t="str">
        <x:v>Minorista</x:v>
      </x:c>
      <x:c r="J46" t="n">
        <x:v>101</x:v>
      </x:c>
      <x:c r="K46" t="str">
        <x:v>PRODUCTO 101</x:v>
      </x:c>
      <x:c r="L46" t="str">
        <x:v>Tecnología</x:v>
      </x:c>
      <x:c r="M46" s="26" t="n">
        <x:v>2</x:v>
      </x:c>
      <x:c r="N46" s="24" t="n">
        <x:v>1850</x:v>
      </x:c>
      <x:c r="O46" s="24" t="n">
        <x:v>0</x:v>
      </x:c>
      <x:c r="P46" s="24" t="n">
        <x:v>3700</x:v>
      </x:c>
    </x:row>
    <x:row r="47">
      <x:c r="A47" t="str">
        <x:v>F-ACT-0008</x:v>
      </x:c>
      <x:c r="B47" s="22" t="n">
        <x:v>46104</x:v>
      </x:c>
      <x:c r="C47" t="n">
        <x:v>2026</x:v>
      </x:c>
      <x:c r="D47" t="n">
        <x:v>3</x:v>
      </x:c>
      <x:c r="E47" t="str">
        <x:v>San Francisco de Macorís</x:v>
      </x:c>
      <x:c r="F47" t="str">
        <x:v>Duarte</x:v>
      </x:c>
      <x:c r="G47" t="str">
        <x:v>Cibao Nordeste</x:v>
      </x:c>
      <x:c r="H47" t="str">
        <x:v>Cliente Gobierno 002</x:v>
      </x:c>
      <x:c r="I47" t="str">
        <x:v>Institucional</x:v>
      </x:c>
      <x:c r="J47" t="n">
        <x:v>102</x:v>
      </x:c>
      <x:c r="K47" t="str">
        <x:v>PRODUCTO 102</x:v>
      </x:c>
      <x:c r="L47" t="str">
        <x:v>Oficina</x:v>
      </x:c>
      <x:c r="M47" s="26" t="n">
        <x:v>6</x:v>
      </x:c>
      <x:c r="N47" s="24" t="n">
        <x:v>975</x:v>
      </x:c>
      <x:c r="O47" s="24" t="n">
        <x:v>0</x:v>
      </x:c>
      <x:c r="P47" s="24" t="n">
        <x:v>5850</x:v>
      </x:c>
    </x:row>
    <x:row r="48">
      <x:c r="A48" t="str">
        <x:v>F-ACT-0008</x:v>
      </x:c>
      <x:c r="B48" s="22" t="n">
        <x:v>46104</x:v>
      </x:c>
      <x:c r="C48" t="n">
        <x:v>2026</x:v>
      </x:c>
      <x:c r="D48" t="n">
        <x:v>3</x:v>
      </x:c>
      <x:c r="E48" t="str">
        <x:v>San Francisco de Macorís</x:v>
      </x:c>
      <x:c r="F48" t="str">
        <x:v>Duarte</x:v>
      </x:c>
      <x:c r="G48" t="str">
        <x:v>Cibao Nordeste</x:v>
      </x:c>
      <x:c r="H48" t="str">
        <x:v>Cliente Gobierno 002</x:v>
      </x:c>
      <x:c r="I48" t="str">
        <x:v>Institucional</x:v>
      </x:c>
      <x:c r="J48" t="n">
        <x:v>103</x:v>
      </x:c>
      <x:c r="K48" t="str">
        <x:v>PRODUCTO 103</x:v>
      </x:c>
      <x:c r="L48" t="str">
        <x:v>Hogar</x:v>
      </x:c>
      <x:c r="M48" s="26" t="n">
        <x:v>4</x:v>
      </x:c>
      <x:c r="N48" s="24" t="n">
        <x:v>720</x:v>
      </x:c>
      <x:c r="O48" s="24" t="n">
        <x:v>0</x:v>
      </x:c>
      <x:c r="P48" s="24" t="n">
        <x:v>2880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2655e27316f04d45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45.380001068115234" hidden="0" customWidth="1"/>
    <x:col min="2" max="2" width="48.380001068115234" hidden="0" customWidth="1"/>
    <x:col min="3" max="3" width="55" hidden="0" customWidth="1"/>
  </x:cols>
  <x:sheetData>
    <x:row r="1" ht="34" customHeight="1">
      <x:c r="A1" s="50" t="str">
        <x:v>Consultas SQL del Proyecto</x:v>
      </x:c>
      <x:c r="B1" s="51"/>
      <x:c r="C1" s="51"/>
      <x:c r="D1" s="51"/>
      <x:c r="E1" s="51"/>
      <x:c r="F1" s="51"/>
      <x:c r="G1" s="51"/>
      <x:c r="H1" s="51"/>
      <x:c r="I1" s="51"/>
      <x:c r="J1" s="51"/>
      <x:c r="K1" s="51"/>
      <x:c r="L1" s="51"/>
      <x:c r="M1" s="51"/>
      <x:c r="N1" s="51"/>
      <x:c r="O1" s="51"/>
      <x:c r="P1" s="51"/>
      <x:c r="Q1" s="51"/>
      <x:c r="R1" s="51"/>
      <x:c r="S1" s="51"/>
      <x:c r="T1" s="51"/>
      <x:c r="U1" s="51"/>
      <x:c r="V1" s="51"/>
      <x:c r="W1" s="51"/>
      <x:c r="X1" s="51"/>
      <x:c r="Y1" s="51"/>
      <x:c r="Z1" s="51"/>
    </x:row>
    <x:row r="2" ht="24" customHeight="1">
      <x:c r="A2" s="13" t="str">
        <x:v>Vistas y procedimientos usados para alimentar los reportes</x:v>
      </x:c>
    </x:row>
    <x:row r="4">
      <x:c r="A4" s="30" t="str">
        <x:v>Objeto</x:v>
      </x:c>
      <x:c r="B4" s="30" t="str">
        <x:v>Uso</x:v>
      </x:c>
      <x:c r="C4" s="30" t="str">
        <x:v>Consulta</x:v>
      </x:c>
    </x:row>
    <x:row r="5">
      <x:c r="A5" s="35" t="str">
        <x:v>sp_ReporteVentasUltimos3MesesProductoCiudad</x:v>
      </x:c>
      <x:c r="B5" s="35" t="str">
        <x:v>Reporte principal con detalle, subtotal por ciudad y total general</x:v>
      </x:c>
      <x:c r="C5" s="42" t="str">
        <x:v>EXEC dbo.sp_ReporteVentasUltimos3MesesProductoCiudad;</x:v>
      </x:c>
    </x:row>
    <x:row r="6">
      <x:c r="A6" s="35" t="str">
        <x:v>vw_VentasPorCiudad</x:v>
      </x:c>
      <x:c r="B6" s="35" t="str">
        <x:v>Gráfico de comportamiento de ventas por ciudad</x:v>
      </x:c>
      <x:c r="C6" s="42" t="str">
        <x:v>SELECT NombreCiudad, TotalVendido FROM dbo.vw_VentasPorCiudad ORDER BY TotalVendido DESC;</x:v>
      </x:c>
    </x:row>
    <x:row r="7">
      <x:c r="A7" s="35" t="str">
        <x:v>vw_VentasProductoAnio</x:v>
      </x:c>
      <x:c r="B7" s="35" t="str">
        <x:v>Gráfico de ventas de cada producto por año</x:v>
      </x:c>
      <x:c r="C7" s="42" t="str">
        <x:v>SELECT Anio, NombreProducto, TotalVendido FROM dbo.vw_VentasProductoAnio ORDER BY Anio, NombreProducto;</x:v>
      </x:c>
    </x:row>
    <x:row r="8">
      <x:c r="A8" s="35" t="str">
        <x:v>vw_VentasDetalleDW</x:v>
      </x:c>
      <x:c r="B8" s="35" t="str">
        <x:v>Vista base para conectar Excel, SSRS o Power BI</x:v>
      </x:c>
      <x:c r="C8" s="42" t="str">
        <x:v>SELECT * FROM dbo.vw_VentasDetalleDW;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c5737de0abce439e"/>
  </x:tableParts>
</x:worksheet>
</file>