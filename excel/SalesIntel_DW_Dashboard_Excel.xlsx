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6205b5b937a17a3/Escritorio/PROYECTOS DE PROGRAMACION/ITLA/SalesIntel-DW/excel/"/>
    </mc:Choice>
  </mc:AlternateContent>
  <xr:revisionPtr revIDLastSave="10" documentId="11_EDB9FDB3567EE6913D52D54430387185CC0D09C7" xr6:coauthVersionLast="47" xr6:coauthVersionMax="47" xr10:uidLastSave="{E3E3E250-D8C3-4F36-A166-6F530760571C}"/>
  <bookViews>
    <workbookView xWindow="-120" yWindow="-120" windowWidth="29040" windowHeight="15720" xr2:uid="{00000000-000D-0000-FFFF-FFFF00000000}"/>
  </bookViews>
  <sheets>
    <sheet name="Dashboard" sheetId="1" r:id="rId1"/>
    <sheet name="Ventas por Ciudad" sheetId="2" r:id="rId2"/>
    <sheet name="Producto por Año" sheetId="3" r:id="rId3"/>
    <sheet name="Ultimos 3 Meses" sheetId="4" r:id="rId4"/>
    <sheet name="Datos DW" sheetId="5" r:id="rId5"/>
    <sheet name="SQL Consult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</calcChain>
</file>

<file path=xl/sharedStrings.xml><?xml version="1.0" encoding="utf-8"?>
<sst xmlns="http://schemas.openxmlformats.org/spreadsheetml/2006/main" count="516" uniqueCount="127">
  <si>
    <t>SalesIntel DW</t>
  </si>
  <si>
    <t>Dashboard ejecutivo de ventas nacionales</t>
  </si>
  <si>
    <t>Indicadores Generales</t>
  </si>
  <si>
    <t>Top 5 ciudades por ventas</t>
  </si>
  <si>
    <t>Métrica</t>
  </si>
  <si>
    <t>Valor</t>
  </si>
  <si>
    <t>Ciudad</t>
  </si>
  <si>
    <t>TotalVendido</t>
  </si>
  <si>
    <t>Total vendido</t>
  </si>
  <si>
    <t>Santo Domingo</t>
  </si>
  <si>
    <t>Ciudades con ventas</t>
  </si>
  <si>
    <t>Santiago</t>
  </si>
  <si>
    <t>Productos vendidos</t>
  </si>
  <si>
    <t>Puerto Plata</t>
  </si>
  <si>
    <t>Ventas últimos 3 meses</t>
  </si>
  <si>
    <t>La Romana</t>
  </si>
  <si>
    <t>Higüey</t>
  </si>
  <si>
    <t>Gráficos principales</t>
  </si>
  <si>
    <t>Ventas por Ciudad</t>
  </si>
  <si>
    <t>Fuente: vw_VentasPorCiudad</t>
  </si>
  <si>
    <t>NombreCiudad</t>
  </si>
  <si>
    <t>San Pedro de Macorís</t>
  </si>
  <si>
    <t>San Francisco de Macorís</t>
  </si>
  <si>
    <t>Barahona</t>
  </si>
  <si>
    <t>Ventas de cada Producto por Año</t>
  </si>
  <si>
    <t>Fuente: vw_VentasProductoAnio</t>
  </si>
  <si>
    <t>Anio</t>
  </si>
  <si>
    <t>NombreProducto</t>
  </si>
  <si>
    <t>Producto</t>
  </si>
  <si>
    <t>2024</t>
  </si>
  <si>
    <t>2025</t>
  </si>
  <si>
    <t>2026</t>
  </si>
  <si>
    <t>PRODUCTO 1</t>
  </si>
  <si>
    <t>PRODUCTO 100</t>
  </si>
  <si>
    <t>PRODUCTO 101</t>
  </si>
  <si>
    <t>PRODUCTO 102</t>
  </si>
  <si>
    <t>PRODUCTO 103</t>
  </si>
  <si>
    <t>PRODUCTO 2</t>
  </si>
  <si>
    <t>PRODUCTO 3</t>
  </si>
  <si>
    <t>PRODUCTO 4</t>
  </si>
  <si>
    <t>Reporte Principal: Últimos 3 Meses</t>
  </si>
  <si>
    <t>Producto vendido por ciudad con subtotales y total general</t>
  </si>
  <si>
    <t>CantidadVendida</t>
  </si>
  <si>
    <t>NivelReporte</t>
  </si>
  <si>
    <t>TOTAL CIUDAD</t>
  </si>
  <si>
    <t>TOTAL GENERAL</t>
  </si>
  <si>
    <t>TODOS LOS PRODUCTOS</t>
  </si>
  <si>
    <t>SalesIntel DW - Datos Detallados</t>
  </si>
  <si>
    <t>Salida simulada desde FactVentas + dimensiones</t>
  </si>
  <si>
    <t>NumeroFactura</t>
  </si>
  <si>
    <t>Fecha</t>
  </si>
  <si>
    <t>Mes</t>
  </si>
  <si>
    <t>Provincia</t>
  </si>
  <si>
    <t>Region</t>
  </si>
  <si>
    <t>NombreCliente</t>
  </si>
  <si>
    <t>TipoCliente</t>
  </si>
  <si>
    <t>IdProducto</t>
  </si>
  <si>
    <t>Categoria</t>
  </si>
  <si>
    <t>Cantidad</t>
  </si>
  <si>
    <t>PrecioUnitario</t>
  </si>
  <si>
    <t>Descuento</t>
  </si>
  <si>
    <t>TotalVenta</t>
  </si>
  <si>
    <t>F-2024-0001</t>
  </si>
  <si>
    <t>Ozama</t>
  </si>
  <si>
    <t>Cliente Corporativo Norte</t>
  </si>
  <si>
    <t>Corporativo</t>
  </si>
  <si>
    <t>Tecnología</t>
  </si>
  <si>
    <t>Oficina</t>
  </si>
  <si>
    <t>F-2024-0002</t>
  </si>
  <si>
    <t>Cibao Norte</t>
  </si>
  <si>
    <t>Distribuidora Capital</t>
  </si>
  <si>
    <t>Distribuidor</t>
  </si>
  <si>
    <t>Hogar</t>
  </si>
  <si>
    <t>Electrónica</t>
  </si>
  <si>
    <t>F-2024-0003</t>
  </si>
  <si>
    <t>Yuma</t>
  </si>
  <si>
    <t>Comercial del Este</t>
  </si>
  <si>
    <t>Especial</t>
  </si>
  <si>
    <t>F-2024-0004</t>
  </si>
  <si>
    <t>Cliente Minorista 001</t>
  </si>
  <si>
    <t>Minorista</t>
  </si>
  <si>
    <t>F-2024-0005</t>
  </si>
  <si>
    <t>Higuamo</t>
  </si>
  <si>
    <t>Cliente Gobierno 001</t>
  </si>
  <si>
    <t>Institucional</t>
  </si>
  <si>
    <t>F-2024-0006</t>
  </si>
  <si>
    <t>Enriquillo</t>
  </si>
  <si>
    <t>Cliente Corporativo Sur</t>
  </si>
  <si>
    <t>F-2025-0001</t>
  </si>
  <si>
    <t>F-2025-0002</t>
  </si>
  <si>
    <t>F-2025-0003</t>
  </si>
  <si>
    <t>La Altagracia</t>
  </si>
  <si>
    <t>F-2025-0004</t>
  </si>
  <si>
    <t>Duarte</t>
  </si>
  <si>
    <t>Cibao Nordeste</t>
  </si>
  <si>
    <t>Cliente Minorista 002</t>
  </si>
  <si>
    <t>F-2025-0005</t>
  </si>
  <si>
    <t>Cliente Gobierno 002</t>
  </si>
  <si>
    <t>F-2025-0006</t>
  </si>
  <si>
    <t>F-2025-0007</t>
  </si>
  <si>
    <t>F-2025-0008</t>
  </si>
  <si>
    <t>F-ACT-0001</t>
  </si>
  <si>
    <t>F-ACT-0002</t>
  </si>
  <si>
    <t>F-ACT-0003</t>
  </si>
  <si>
    <t>F-ACT-0004</t>
  </si>
  <si>
    <t>F-ACT-0005</t>
  </si>
  <si>
    <t>F-ACT-0006</t>
  </si>
  <si>
    <t>F-ACT-0007</t>
  </si>
  <si>
    <t>F-ACT-0008</t>
  </si>
  <si>
    <t>Consultas SQL del Proyecto</t>
  </si>
  <si>
    <t>Vistas y procedimientos usados para alimentar los reportes</t>
  </si>
  <si>
    <t>Objeto</t>
  </si>
  <si>
    <t>Uso</t>
  </si>
  <si>
    <t>Consulta</t>
  </si>
  <si>
    <t>sp_ReporteVentasUltimos3MesesProductoCiudad</t>
  </si>
  <si>
    <t>Reporte principal con detalle, subtotal por ciudad y total general</t>
  </si>
  <si>
    <t>EXEC dbo.sp_ReporteVentasUltimos3MesesProductoCiudad;</t>
  </si>
  <si>
    <t>vw_VentasPorCiudad</t>
  </si>
  <si>
    <t>Gráfico de comportamiento de ventas por ciudad</t>
  </si>
  <si>
    <t>SELECT NombreCiudad, TotalVendido FROM dbo.vw_VentasPorCiudad ORDER BY TotalVendido DESC;</t>
  </si>
  <si>
    <t>vw_VentasProductoAnio</t>
  </si>
  <si>
    <t>Gráfico de ventas de cada producto por año</t>
  </si>
  <si>
    <t>SELECT Anio, NombreProducto, TotalVendido FROM dbo.vw_VentasProductoAnio ORDER BY Anio, NombreProducto;</t>
  </si>
  <si>
    <t>vw_VentasDetalleDW</t>
  </si>
  <si>
    <t>Vista base para conectar Excel, SSRS o Power BI</t>
  </si>
  <si>
    <t>SELECT * FROM dbo.vw_VentasDetalleDW;</t>
  </si>
  <si>
    <t>Evolución de Ventas por Producto (2024–2026)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</si>
</sst>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RD$&quot;#,##0.00"/>
  </numFmts>
  <fonts count="5">
    <font>
      <sz val="11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invertIfNegative val="1"/>
          <c:cat>
            <c:strRef>
              <c:f>'Ventas por Ciudad'!$A$5:$A$12</c:f>
              <c:strCache>
                <c:ptCount val="8"/>
                <c:pt idx="0">
                  <c:v>Santo Domingo</c:v>
                </c:pt>
                <c:pt idx="1">
                  <c:v>Santiago</c:v>
                </c:pt>
                <c:pt idx="2">
                  <c:v>Puerto Plata</c:v>
                </c:pt>
                <c:pt idx="3">
                  <c:v>La Romana</c:v>
                </c:pt>
                <c:pt idx="4">
                  <c:v>Higüey</c:v>
                </c:pt>
                <c:pt idx="5">
                  <c:v>San Pedro de Macorís</c:v>
                </c:pt>
                <c:pt idx="6">
                  <c:v>San Francisco de Macorís</c:v>
                </c:pt>
                <c:pt idx="7">
                  <c:v>Barahona</c:v>
                </c:pt>
              </c:strCache>
            </c:strRef>
          </c:cat>
          <c:val>
            <c:numRef>
              <c:f>'Ventas por Ciudad'!$B$5:$B$12</c:f>
              <c:numCache>
                <c:formatCode>"RD$"#,##0.00</c:formatCode>
                <c:ptCount val="8"/>
                <c:pt idx="0">
                  <c:v>40950</c:v>
                </c:pt>
                <c:pt idx="1">
                  <c:v>37475</c:v>
                </c:pt>
                <c:pt idx="2">
                  <c:v>32650</c:v>
                </c:pt>
                <c:pt idx="3">
                  <c:v>31950</c:v>
                </c:pt>
                <c:pt idx="4">
                  <c:v>25450</c:v>
                </c:pt>
                <c:pt idx="5">
                  <c:v>19050</c:v>
                </c:pt>
                <c:pt idx="6">
                  <c:v>18435</c:v>
                </c:pt>
                <c:pt idx="7">
                  <c:v>17035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4-4101-B72B-18B4DF86A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D$&quot;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'Producto por Año'!$F$4</c:f>
              <c:strCache>
                <c:ptCount val="1"/>
                <c:pt idx="0">
                  <c:v>2024</c:v>
                </c:pt>
              </c:strCache>
            </c:strRef>
          </c:tx>
          <c:invertIfNegative val="1"/>
          <c:cat>
            <c:strRef>
              <c:f>'Producto por Año'!$E$5:$E$12</c:f>
              <c:strCache>
                <c:ptCount val="8"/>
                <c:pt idx="0">
                  <c:v>PRODUCTO 1</c:v>
                </c:pt>
                <c:pt idx="1">
                  <c:v>PRODUCTO 100</c:v>
                </c:pt>
                <c:pt idx="2">
                  <c:v>PRODUCTO 101</c:v>
                </c:pt>
                <c:pt idx="3">
                  <c:v>PRODUCTO 102</c:v>
                </c:pt>
                <c:pt idx="4">
                  <c:v>PRODUCTO 103</c:v>
                </c:pt>
                <c:pt idx="5">
                  <c:v>PRODUCTO 2</c:v>
                </c:pt>
                <c:pt idx="6">
                  <c:v>PRODUCTO 3</c:v>
                </c:pt>
                <c:pt idx="7">
                  <c:v>PRODUCTO 4</c:v>
                </c:pt>
              </c:strCache>
            </c:strRef>
          </c:cat>
          <c:val>
            <c:numRef>
              <c:f>'Producto por Año'!$F$5:$F$12</c:f>
              <c:numCache>
                <c:formatCode>"RD$"#,##0.00</c:formatCode>
                <c:ptCount val="8"/>
                <c:pt idx="0">
                  <c:v>8750</c:v>
                </c:pt>
                <c:pt idx="1">
                  <c:v>10250</c:v>
                </c:pt>
                <c:pt idx="2">
                  <c:v>3700</c:v>
                </c:pt>
                <c:pt idx="3">
                  <c:v>3900</c:v>
                </c:pt>
                <c:pt idx="4">
                  <c:v>2160</c:v>
                </c:pt>
                <c:pt idx="5">
                  <c:v>6850</c:v>
                </c:pt>
                <c:pt idx="6">
                  <c:v>3150</c:v>
                </c:pt>
                <c:pt idx="7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5-4F8E-9AB6-E46BD653A23E}"/>
            </c:ext>
          </c:extLst>
        </c:ser>
        <c:ser>
          <c:idx val="1"/>
          <c:order val="1"/>
          <c:tx>
            <c:strRef>
              <c:f>'Producto por Año'!$G$4</c:f>
              <c:strCache>
                <c:ptCount val="1"/>
                <c:pt idx="0">
                  <c:v>2025</c:v>
                </c:pt>
              </c:strCache>
            </c:strRef>
          </c:tx>
          <c:invertIfNegative val="1"/>
          <c:cat>
            <c:strRef>
              <c:f>'Producto por Año'!$E$5:$E$12</c:f>
              <c:strCache>
                <c:ptCount val="8"/>
                <c:pt idx="0">
                  <c:v>PRODUCTO 1</c:v>
                </c:pt>
                <c:pt idx="1">
                  <c:v>PRODUCTO 100</c:v>
                </c:pt>
                <c:pt idx="2">
                  <c:v>PRODUCTO 101</c:v>
                </c:pt>
                <c:pt idx="3">
                  <c:v>PRODUCTO 102</c:v>
                </c:pt>
                <c:pt idx="4">
                  <c:v>PRODUCTO 103</c:v>
                </c:pt>
                <c:pt idx="5">
                  <c:v>PRODUCTO 2</c:v>
                </c:pt>
                <c:pt idx="6">
                  <c:v>PRODUCTO 3</c:v>
                </c:pt>
                <c:pt idx="7">
                  <c:v>PRODUCTO 4</c:v>
                </c:pt>
              </c:strCache>
            </c:strRef>
          </c:cat>
          <c:val>
            <c:numRef>
              <c:f>'Producto por Año'!$G$5:$G$12</c:f>
              <c:numCache>
                <c:formatCode>"RD$"#,##0.00</c:formatCode>
                <c:ptCount val="8"/>
                <c:pt idx="0">
                  <c:v>10000</c:v>
                </c:pt>
                <c:pt idx="1">
                  <c:v>13500</c:v>
                </c:pt>
                <c:pt idx="2">
                  <c:v>11000</c:v>
                </c:pt>
                <c:pt idx="3">
                  <c:v>12575</c:v>
                </c:pt>
                <c:pt idx="4">
                  <c:v>2880</c:v>
                </c:pt>
                <c:pt idx="5">
                  <c:v>15200</c:v>
                </c:pt>
                <c:pt idx="6">
                  <c:v>9100</c:v>
                </c:pt>
                <c:pt idx="7">
                  <c:v>20650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5-4F8E-9AB6-E46BD653A23E}"/>
            </c:ext>
          </c:extLst>
        </c:ser>
        <c:ser>
          <c:idx val="2"/>
          <c:order val="2"/>
          <c:tx>
            <c:strRef>
              <c:f>'Producto por Año'!$H$4</c:f>
              <c:strCache>
                <c:ptCount val="1"/>
                <c:pt idx="0">
                  <c:v>2026</c:v>
                </c:pt>
              </c:strCache>
            </c:strRef>
          </c:tx>
          <c:invertIfNegative val="1"/>
          <c:cat>
            <c:strRef>
              <c:f>'Producto por Año'!$E$5:$E$12</c:f>
              <c:strCache>
                <c:ptCount val="8"/>
                <c:pt idx="0">
                  <c:v>PRODUCTO 1</c:v>
                </c:pt>
                <c:pt idx="1">
                  <c:v>PRODUCTO 100</c:v>
                </c:pt>
                <c:pt idx="2">
                  <c:v>PRODUCTO 101</c:v>
                </c:pt>
                <c:pt idx="3">
                  <c:v>PRODUCTO 102</c:v>
                </c:pt>
                <c:pt idx="4">
                  <c:v>PRODUCTO 103</c:v>
                </c:pt>
                <c:pt idx="5">
                  <c:v>PRODUCTO 2</c:v>
                </c:pt>
                <c:pt idx="6">
                  <c:v>PRODUCTO 3</c:v>
                </c:pt>
                <c:pt idx="7">
                  <c:v>PRODUCTO 4</c:v>
                </c:pt>
              </c:strCache>
            </c:strRef>
          </c:cat>
          <c:val>
            <c:numRef>
              <c:f>'Producto por Año'!$H$5:$H$12</c:f>
              <c:numCache>
                <c:formatCode>"RD$"#,##0.00</c:formatCode>
                <c:ptCount val="8"/>
                <c:pt idx="0">
                  <c:v>11250</c:v>
                </c:pt>
                <c:pt idx="1">
                  <c:v>13700</c:v>
                </c:pt>
                <c:pt idx="2">
                  <c:v>9250</c:v>
                </c:pt>
                <c:pt idx="3">
                  <c:v>13450</c:v>
                </c:pt>
                <c:pt idx="4">
                  <c:v>6480</c:v>
                </c:pt>
                <c:pt idx="5">
                  <c:v>10500</c:v>
                </c:pt>
                <c:pt idx="6">
                  <c:v>8350</c:v>
                </c:pt>
                <c:pt idx="7">
                  <c:v>10250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5-4F8E-9AB6-E46BD653A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D$&quot;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invertIfNegative val="1"/>
          <c:cat>
            <c:strRef>
              <c:f>'Ventas por Ciudad'!$A$5:$A$12</c:f>
              <c:strCache>
                <c:ptCount val="8"/>
                <c:pt idx="0">
                  <c:v>Santo Domingo</c:v>
                </c:pt>
                <c:pt idx="1">
                  <c:v>Santiago</c:v>
                </c:pt>
                <c:pt idx="2">
                  <c:v>Puerto Plata</c:v>
                </c:pt>
                <c:pt idx="3">
                  <c:v>La Romana</c:v>
                </c:pt>
                <c:pt idx="4">
                  <c:v>Higüey</c:v>
                </c:pt>
                <c:pt idx="5">
                  <c:v>San Pedro de Macorís</c:v>
                </c:pt>
                <c:pt idx="6">
                  <c:v>San Francisco de Macorís</c:v>
                </c:pt>
                <c:pt idx="7">
                  <c:v>Barahona</c:v>
                </c:pt>
              </c:strCache>
            </c:strRef>
          </c:cat>
          <c:val>
            <c:numRef>
              <c:f>'Ventas por Ciudad'!$B$5:$B$12</c:f>
              <c:numCache>
                <c:formatCode>"RD$"#,##0.00</c:formatCode>
                <c:ptCount val="8"/>
                <c:pt idx="0">
                  <c:v>40950</c:v>
                </c:pt>
                <c:pt idx="1">
                  <c:v>37475</c:v>
                </c:pt>
                <c:pt idx="2">
                  <c:v>32650</c:v>
                </c:pt>
                <c:pt idx="3">
                  <c:v>31950</c:v>
                </c:pt>
                <c:pt idx="4">
                  <c:v>25450</c:v>
                </c:pt>
                <c:pt idx="5">
                  <c:v>19050</c:v>
                </c:pt>
                <c:pt idx="6">
                  <c:v>18435</c:v>
                </c:pt>
                <c:pt idx="7">
                  <c:v>17035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9-426C-8CF1-1980A08DB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D$&quot;#,##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'Producto por Año'!$F$4</c:f>
              <c:strCache>
                <c:ptCount val="1"/>
                <c:pt idx="0">
                  <c:v>2024</c:v>
                </c:pt>
              </c:strCache>
            </c:strRef>
          </c:tx>
          <c:invertIfNegative val="1"/>
          <c:cat>
            <c:strRef>
              <c:f>'Producto por Año'!$E$5:$E$12</c:f>
              <c:strCache>
                <c:ptCount val="8"/>
                <c:pt idx="0">
                  <c:v>PRODUCTO 1</c:v>
                </c:pt>
                <c:pt idx="1">
                  <c:v>PRODUCTO 100</c:v>
                </c:pt>
                <c:pt idx="2">
                  <c:v>PRODUCTO 101</c:v>
                </c:pt>
                <c:pt idx="3">
                  <c:v>PRODUCTO 102</c:v>
                </c:pt>
                <c:pt idx="4">
                  <c:v>PRODUCTO 103</c:v>
                </c:pt>
                <c:pt idx="5">
                  <c:v>PRODUCTO 2</c:v>
                </c:pt>
                <c:pt idx="6">
                  <c:v>PRODUCTO 3</c:v>
                </c:pt>
                <c:pt idx="7">
                  <c:v>PRODUCTO 4</c:v>
                </c:pt>
              </c:strCache>
            </c:strRef>
          </c:cat>
          <c:val>
            <c:numRef>
              <c:f>'Producto por Año'!$F$5:$F$12</c:f>
              <c:numCache>
                <c:formatCode>"RD$"#,##0.00</c:formatCode>
                <c:ptCount val="8"/>
                <c:pt idx="0">
                  <c:v>8750</c:v>
                </c:pt>
                <c:pt idx="1">
                  <c:v>10250</c:v>
                </c:pt>
                <c:pt idx="2">
                  <c:v>3700</c:v>
                </c:pt>
                <c:pt idx="3">
                  <c:v>3900</c:v>
                </c:pt>
                <c:pt idx="4">
                  <c:v>2160</c:v>
                </c:pt>
                <c:pt idx="5">
                  <c:v>6850</c:v>
                </c:pt>
                <c:pt idx="6">
                  <c:v>3150</c:v>
                </c:pt>
                <c:pt idx="7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8-409F-BB09-83E1F2D419E9}"/>
            </c:ext>
          </c:extLst>
        </c:ser>
        <c:ser>
          <c:idx val="1"/>
          <c:order val="1"/>
          <c:tx>
            <c:strRef>
              <c:f>'Producto por Año'!$G$4</c:f>
              <c:strCache>
                <c:ptCount val="1"/>
                <c:pt idx="0">
                  <c:v>2025</c:v>
                </c:pt>
              </c:strCache>
            </c:strRef>
          </c:tx>
          <c:invertIfNegative val="1"/>
          <c:cat>
            <c:strRef>
              <c:f>'Producto por Año'!$E$5:$E$12</c:f>
              <c:strCache>
                <c:ptCount val="8"/>
                <c:pt idx="0">
                  <c:v>PRODUCTO 1</c:v>
                </c:pt>
                <c:pt idx="1">
                  <c:v>PRODUCTO 100</c:v>
                </c:pt>
                <c:pt idx="2">
                  <c:v>PRODUCTO 101</c:v>
                </c:pt>
                <c:pt idx="3">
                  <c:v>PRODUCTO 102</c:v>
                </c:pt>
                <c:pt idx="4">
                  <c:v>PRODUCTO 103</c:v>
                </c:pt>
                <c:pt idx="5">
                  <c:v>PRODUCTO 2</c:v>
                </c:pt>
                <c:pt idx="6">
                  <c:v>PRODUCTO 3</c:v>
                </c:pt>
                <c:pt idx="7">
                  <c:v>PRODUCTO 4</c:v>
                </c:pt>
              </c:strCache>
            </c:strRef>
          </c:cat>
          <c:val>
            <c:numRef>
              <c:f>'Producto por Año'!$G$5:$G$12</c:f>
              <c:numCache>
                <c:formatCode>"RD$"#,##0.00</c:formatCode>
                <c:ptCount val="8"/>
                <c:pt idx="0">
                  <c:v>10000</c:v>
                </c:pt>
                <c:pt idx="1">
                  <c:v>13500</c:v>
                </c:pt>
                <c:pt idx="2">
                  <c:v>11000</c:v>
                </c:pt>
                <c:pt idx="3">
                  <c:v>12575</c:v>
                </c:pt>
                <c:pt idx="4">
                  <c:v>2880</c:v>
                </c:pt>
                <c:pt idx="5">
                  <c:v>15200</c:v>
                </c:pt>
                <c:pt idx="6">
                  <c:v>9100</c:v>
                </c:pt>
                <c:pt idx="7">
                  <c:v>20650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8-409F-BB09-83E1F2D419E9}"/>
            </c:ext>
          </c:extLst>
        </c:ser>
        <c:ser>
          <c:idx val="2"/>
          <c:order val="2"/>
          <c:tx>
            <c:strRef>
              <c:f>'Producto por Año'!$H$4</c:f>
              <c:strCache>
                <c:ptCount val="1"/>
                <c:pt idx="0">
                  <c:v>2026</c:v>
                </c:pt>
              </c:strCache>
            </c:strRef>
          </c:tx>
          <c:invertIfNegative val="1"/>
          <c:cat>
            <c:strRef>
              <c:f>'Producto por Año'!$E$5:$E$12</c:f>
              <c:strCache>
                <c:ptCount val="8"/>
                <c:pt idx="0">
                  <c:v>PRODUCTO 1</c:v>
                </c:pt>
                <c:pt idx="1">
                  <c:v>PRODUCTO 100</c:v>
                </c:pt>
                <c:pt idx="2">
                  <c:v>PRODUCTO 101</c:v>
                </c:pt>
                <c:pt idx="3">
                  <c:v>PRODUCTO 102</c:v>
                </c:pt>
                <c:pt idx="4">
                  <c:v>PRODUCTO 103</c:v>
                </c:pt>
                <c:pt idx="5">
                  <c:v>PRODUCTO 2</c:v>
                </c:pt>
                <c:pt idx="6">
                  <c:v>PRODUCTO 3</c:v>
                </c:pt>
                <c:pt idx="7">
                  <c:v>PRODUCTO 4</c:v>
                </c:pt>
              </c:strCache>
            </c:strRef>
          </c:cat>
          <c:val>
            <c:numRef>
              <c:f>'Producto por Año'!$H$5:$H$12</c:f>
              <c:numCache>
                <c:formatCode>"RD$"#,##0.00</c:formatCode>
                <c:ptCount val="8"/>
                <c:pt idx="0">
                  <c:v>11250</c:v>
                </c:pt>
                <c:pt idx="1">
                  <c:v>13700</c:v>
                </c:pt>
                <c:pt idx="2">
                  <c:v>9250</c:v>
                </c:pt>
                <c:pt idx="3">
                  <c:v>13450</c:v>
                </c:pt>
                <c:pt idx="4">
                  <c:v>6480</c:v>
                </c:pt>
                <c:pt idx="5">
                  <c:v>10500</c:v>
                </c:pt>
                <c:pt idx="6">
                  <c:v>8350</c:v>
                </c:pt>
                <c:pt idx="7">
                  <c:v>10250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D8-409F-BB09-83E1F2D41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D$&quot;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9</xdr:col>
      <xdr:colOff>142874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276224</xdr:colOff>
      <xdr:row>3</xdr:row>
      <xdr:rowOff>0</xdr:rowOff>
    </xdr:from>
    <xdr:to>
      <xdr:col>17</xdr:col>
      <xdr:colOff>685799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VentasCiudadTable" displayName="VentasCiudadTable" ref="A4:B12">
  <tableColumns count="2">
    <tableColumn id="1" xr3:uid="{00000000-0010-0000-0000-000001000000}" name="NombreCiudad"/>
    <tableColumn id="2" xr3:uid="{00000000-0010-0000-0000-000002000000}" name="TotalVendi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roductoAnioTable" displayName="ProductoAnioTable" ref="A4:C28">
  <tableColumns count="3">
    <tableColumn id="1" xr3:uid="{00000000-0010-0000-0100-000001000000}" name="Anio"/>
    <tableColumn id="2" xr3:uid="{00000000-0010-0000-0100-000002000000}" name="NombreProducto"/>
    <tableColumn id="3" xr3:uid="{00000000-0010-0000-0100-000003000000}" name="TotalVendi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PivotProductoAnioTable" displayName="PivotProductoAnioTable" ref="E4:H12">
  <tableColumns count="4">
    <tableColumn id="1" xr3:uid="{00000000-0010-0000-0200-000001000000}" name="Producto"/>
    <tableColumn id="2" xr3:uid="{00000000-0010-0000-0200-000002000000}" name="2024"/>
    <tableColumn id="3" xr3:uid="{00000000-0010-0000-0200-000003000000}" name="2025"/>
    <tableColumn id="4" xr3:uid="{00000000-0010-0000-0200-000004000000}" name="20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Ultimos3MesesTable" displayName="Ultimos3MesesTable" ref="A4:E29">
  <tableColumns count="5">
    <tableColumn id="1" xr3:uid="{00000000-0010-0000-0300-000001000000}" name="Ciudad"/>
    <tableColumn id="2" xr3:uid="{00000000-0010-0000-0300-000002000000}" name="Producto"/>
    <tableColumn id="3" xr3:uid="{00000000-0010-0000-0300-000003000000}" name="CantidadVendida"/>
    <tableColumn id="4" xr3:uid="{00000000-0010-0000-0300-000004000000}" name="TotalVendido"/>
    <tableColumn id="5" xr3:uid="{00000000-0010-0000-0300-000005000000}" name="NivelRepor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DatosDWTable" displayName="DatosDWTable" ref="A4:P48">
  <tableColumns count="16">
    <tableColumn id="1" xr3:uid="{00000000-0010-0000-0400-000001000000}" name="NumeroFactura"/>
    <tableColumn id="2" xr3:uid="{00000000-0010-0000-0400-000002000000}" name="Fecha"/>
    <tableColumn id="3" xr3:uid="{00000000-0010-0000-0400-000003000000}" name="Anio"/>
    <tableColumn id="4" xr3:uid="{00000000-0010-0000-0400-000004000000}" name="Mes"/>
    <tableColumn id="5" xr3:uid="{00000000-0010-0000-0400-000005000000}" name="NombreCiudad"/>
    <tableColumn id="6" xr3:uid="{00000000-0010-0000-0400-000006000000}" name="Provincia"/>
    <tableColumn id="7" xr3:uid="{00000000-0010-0000-0400-000007000000}" name="Region"/>
    <tableColumn id="8" xr3:uid="{00000000-0010-0000-0400-000008000000}" name="NombreCliente"/>
    <tableColumn id="9" xr3:uid="{00000000-0010-0000-0400-000009000000}" name="TipoCliente"/>
    <tableColumn id="10" xr3:uid="{00000000-0010-0000-0400-00000A000000}" name="IdProducto"/>
    <tableColumn id="11" xr3:uid="{00000000-0010-0000-0400-00000B000000}" name="NombreProducto"/>
    <tableColumn id="12" xr3:uid="{00000000-0010-0000-0400-00000C000000}" name="Categoria"/>
    <tableColumn id="13" xr3:uid="{00000000-0010-0000-0400-00000D000000}" name="Cantidad"/>
    <tableColumn id="14" xr3:uid="{00000000-0010-0000-0400-00000E000000}" name="PrecioUnitario"/>
    <tableColumn id="15" xr3:uid="{00000000-0010-0000-0400-00000F000000}" name="Descuento"/>
    <tableColumn id="16" xr3:uid="{00000000-0010-0000-0400-000010000000}" name="TotalVen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QLConsultasTable" displayName="SQLConsultasTable" ref="A4:C8">
  <tableColumns count="3">
    <tableColumn id="1" xr3:uid="{00000000-0010-0000-0500-000001000000}" name="Objeto"/>
    <tableColumn id="2" xr3:uid="{00000000-0010-0000-0500-000002000000}" name="Uso"/>
    <tableColumn id="3" xr3:uid="{00000000-0010-0000-0500-000003000000}" name="Consul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>
      <selection activeCell="T3" sqref="T3"/>
    </sheetView>
  </sheetViews>
  <sheetFormatPr baseColWidth="10" defaultColWidth="9" defaultRowHeight="14.25"/>
  <cols>
    <col min="1" max="1" width="18" customWidth="1"/>
    <col min="2" max="2" width="17.625" customWidth="1"/>
    <col min="4" max="4" width="20.25" customWidth="1"/>
    <col min="5" max="5" width="14.375" customWidth="1"/>
    <col min="10" max="10" width="3.5" customWidth="1"/>
  </cols>
  <sheetData>
    <row r="1" spans="1:26" ht="33.950000000000003" customHeight="1">
      <c r="A1" s="12" t="s">
        <v>0</v>
      </c>
      <c r="B1" s="13"/>
      <c r="C1" s="13"/>
      <c r="D1" s="13"/>
      <c r="E1" s="13"/>
      <c r="F1" s="13"/>
      <c r="G1" s="13"/>
      <c r="H1" s="13"/>
      <c r="I1" s="11"/>
      <c r="J1" s="11"/>
      <c r="K1" s="14" t="s">
        <v>126</v>
      </c>
      <c r="L1" s="15"/>
      <c r="M1" s="15"/>
      <c r="N1" s="15"/>
      <c r="O1" s="15"/>
      <c r="P1" s="15"/>
      <c r="Q1" s="15"/>
      <c r="R1" s="15"/>
      <c r="S1" s="11"/>
      <c r="T1" s="11"/>
      <c r="U1" s="11"/>
      <c r="V1" s="11"/>
      <c r="W1" s="11"/>
      <c r="X1" s="11"/>
      <c r="Y1" s="11"/>
      <c r="Z1" s="11"/>
    </row>
    <row r="2" spans="1:26" ht="24" customHeight="1">
      <c r="A2" s="14" t="s">
        <v>1</v>
      </c>
      <c r="B2" s="15"/>
      <c r="C2" s="15"/>
      <c r="D2" s="15"/>
      <c r="E2" s="15"/>
      <c r="F2" s="15"/>
      <c r="G2" s="15"/>
      <c r="H2" s="15"/>
    </row>
    <row r="4" spans="1:26" ht="15">
      <c r="A4" s="16" t="s">
        <v>2</v>
      </c>
      <c r="B4" s="15"/>
      <c r="D4" s="16" t="s">
        <v>3</v>
      </c>
      <c r="E4" s="15"/>
    </row>
    <row r="5" spans="1:26" ht="15">
      <c r="A5" s="10" t="s">
        <v>4</v>
      </c>
      <c r="B5" s="10" t="s">
        <v>5</v>
      </c>
      <c r="D5" s="10" t="s">
        <v>6</v>
      </c>
      <c r="E5" s="10" t="s">
        <v>7</v>
      </c>
    </row>
    <row r="6" spans="1:26">
      <c r="A6" t="s">
        <v>8</v>
      </c>
      <c r="B6" s="3">
        <f>SUM('Ventas por Ciudad'!B5:B12)</f>
        <v>222995</v>
      </c>
      <c r="D6" t="s">
        <v>9</v>
      </c>
      <c r="E6" s="3">
        <v>40950</v>
      </c>
    </row>
    <row r="7" spans="1:26">
      <c r="A7" t="s">
        <v>10</v>
      </c>
      <c r="B7">
        <f>COUNTA('Ventas por Ciudad'!A5:A12)</f>
        <v>8</v>
      </c>
      <c r="D7" t="s">
        <v>11</v>
      </c>
      <c r="E7" s="3">
        <v>37475</v>
      </c>
    </row>
    <row r="8" spans="1:26">
      <c r="A8" t="s">
        <v>12</v>
      </c>
      <c r="B8">
        <f>COUNTA('Producto por Año'!E5:E12)</f>
        <v>8</v>
      </c>
      <c r="D8" t="s">
        <v>13</v>
      </c>
      <c r="E8" s="3">
        <v>32650</v>
      </c>
    </row>
    <row r="9" spans="1:26">
      <c r="A9" t="s">
        <v>14</v>
      </c>
      <c r="B9" s="3">
        <f>'Ultimos 3 Meses'!D29</f>
        <v>83230</v>
      </c>
      <c r="D9" t="s">
        <v>15</v>
      </c>
      <c r="E9" s="3">
        <v>31950</v>
      </c>
    </row>
    <row r="10" spans="1:26">
      <c r="D10" t="s">
        <v>16</v>
      </c>
      <c r="E10" s="3">
        <v>25450</v>
      </c>
    </row>
    <row r="12" spans="1:26" ht="15">
      <c r="A12" s="16" t="s">
        <v>17</v>
      </c>
      <c r="B12" s="15"/>
      <c r="C12" s="15"/>
      <c r="D12" s="15"/>
      <c r="E12" s="15"/>
      <c r="F12" s="15"/>
      <c r="G12" s="15"/>
      <c r="H12" s="15"/>
    </row>
  </sheetData>
  <mergeCells count="6">
    <mergeCell ref="K1:R1"/>
    <mergeCell ref="A1:H1"/>
    <mergeCell ref="A2:H2"/>
    <mergeCell ref="A4:B4"/>
    <mergeCell ref="D4:E4"/>
    <mergeCell ref="A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"/>
  <sheetViews>
    <sheetView workbookViewId="0"/>
  </sheetViews>
  <sheetFormatPr baseColWidth="10" defaultColWidth="9" defaultRowHeight="14.25"/>
  <cols>
    <col min="1" max="1" width="23.25" customWidth="1"/>
    <col min="2" max="2" width="13" customWidth="1"/>
  </cols>
  <sheetData>
    <row r="1" spans="1:26" ht="33.950000000000003" customHeight="1">
      <c r="A1" s="12" t="s">
        <v>18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4" customHeight="1">
      <c r="A2" s="14" t="s">
        <v>19</v>
      </c>
      <c r="B2" s="15"/>
      <c r="C2" s="15"/>
      <c r="D2" s="15"/>
      <c r="E2" s="15"/>
      <c r="F2" s="15"/>
      <c r="G2" s="15"/>
      <c r="H2" s="15"/>
    </row>
    <row r="4" spans="1:26" ht="15">
      <c r="A4" s="5" t="s">
        <v>20</v>
      </c>
      <c r="B4" s="5" t="s">
        <v>7</v>
      </c>
    </row>
    <row r="5" spans="1:26">
      <c r="A5" s="6" t="s">
        <v>9</v>
      </c>
      <c r="B5" s="7">
        <v>40950</v>
      </c>
    </row>
    <row r="6" spans="1:26">
      <c r="A6" s="6" t="s">
        <v>11</v>
      </c>
      <c r="B6" s="7">
        <v>37475</v>
      </c>
    </row>
    <row r="7" spans="1:26">
      <c r="A7" s="6" t="s">
        <v>13</v>
      </c>
      <c r="B7" s="7">
        <v>32650</v>
      </c>
    </row>
    <row r="8" spans="1:26">
      <c r="A8" s="6" t="s">
        <v>15</v>
      </c>
      <c r="B8" s="7">
        <v>31950</v>
      </c>
    </row>
    <row r="9" spans="1:26">
      <c r="A9" s="6" t="s">
        <v>16</v>
      </c>
      <c r="B9" s="7">
        <v>25450</v>
      </c>
    </row>
    <row r="10" spans="1:26">
      <c r="A10" s="6" t="s">
        <v>21</v>
      </c>
      <c r="B10" s="7">
        <v>19050</v>
      </c>
    </row>
    <row r="11" spans="1:26">
      <c r="A11" s="6" t="s">
        <v>22</v>
      </c>
      <c r="B11" s="7">
        <v>18435</v>
      </c>
    </row>
    <row r="12" spans="1:26">
      <c r="A12" s="6" t="s">
        <v>23</v>
      </c>
      <c r="B12" s="7">
        <v>17035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8"/>
  <sheetViews>
    <sheetView workbookViewId="0"/>
  </sheetViews>
  <sheetFormatPr baseColWidth="10" defaultColWidth="9" defaultRowHeight="14.25"/>
  <cols>
    <col min="1" max="1" width="42" customWidth="1"/>
    <col min="2" max="2" width="16.25" customWidth="1"/>
    <col min="3" max="3" width="13" customWidth="1"/>
  </cols>
  <sheetData>
    <row r="1" spans="1:26" ht="33.950000000000003" customHeight="1">
      <c r="A1" s="12" t="s">
        <v>24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4" customHeight="1">
      <c r="A2" s="14" t="s">
        <v>25</v>
      </c>
      <c r="B2" s="15"/>
      <c r="C2" s="15"/>
      <c r="D2" s="15"/>
      <c r="E2" s="15"/>
      <c r="F2" s="15"/>
      <c r="G2" s="15"/>
      <c r="H2" s="15"/>
    </row>
    <row r="4" spans="1:26" ht="15">
      <c r="A4" s="5" t="s">
        <v>26</v>
      </c>
      <c r="B4" s="5" t="s">
        <v>27</v>
      </c>
      <c r="C4" s="5" t="s">
        <v>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26">
      <c r="A5" s="6">
        <v>2024</v>
      </c>
      <c r="B5" s="6" t="s">
        <v>32</v>
      </c>
      <c r="C5" s="7">
        <v>8750</v>
      </c>
      <c r="E5" t="s">
        <v>32</v>
      </c>
      <c r="F5" s="3">
        <v>8750</v>
      </c>
      <c r="G5" s="3">
        <v>10000</v>
      </c>
      <c r="H5" s="3">
        <v>11250</v>
      </c>
    </row>
    <row r="6" spans="1:26">
      <c r="A6" s="6">
        <v>2024</v>
      </c>
      <c r="B6" s="6" t="s">
        <v>33</v>
      </c>
      <c r="C6" s="7">
        <v>10250</v>
      </c>
      <c r="E6" t="s">
        <v>33</v>
      </c>
      <c r="F6" s="3">
        <v>10250</v>
      </c>
      <c r="G6" s="3">
        <v>13500</v>
      </c>
      <c r="H6" s="3">
        <v>13700</v>
      </c>
    </row>
    <row r="7" spans="1:26">
      <c r="A7" s="6">
        <v>2024</v>
      </c>
      <c r="B7" s="6" t="s">
        <v>34</v>
      </c>
      <c r="C7" s="7">
        <v>3700</v>
      </c>
      <c r="E7" t="s">
        <v>34</v>
      </c>
      <c r="F7" s="3">
        <v>3700</v>
      </c>
      <c r="G7" s="3">
        <v>11000</v>
      </c>
      <c r="H7" s="3">
        <v>9250</v>
      </c>
    </row>
    <row r="8" spans="1:26">
      <c r="A8" s="6">
        <v>2024</v>
      </c>
      <c r="B8" s="6" t="s">
        <v>35</v>
      </c>
      <c r="C8" s="7">
        <v>3900</v>
      </c>
      <c r="E8" t="s">
        <v>35</v>
      </c>
      <c r="F8" s="3">
        <v>3900</v>
      </c>
      <c r="G8" s="3">
        <v>12575</v>
      </c>
      <c r="H8" s="3">
        <v>13450</v>
      </c>
    </row>
    <row r="9" spans="1:26">
      <c r="A9" s="6">
        <v>2024</v>
      </c>
      <c r="B9" s="6" t="s">
        <v>36</v>
      </c>
      <c r="C9" s="7">
        <v>2160</v>
      </c>
      <c r="E9" t="s">
        <v>36</v>
      </c>
      <c r="F9" s="3">
        <v>2160</v>
      </c>
      <c r="G9" s="3">
        <v>2880</v>
      </c>
      <c r="H9" s="3">
        <v>6480</v>
      </c>
    </row>
    <row r="10" spans="1:26">
      <c r="A10" s="6">
        <v>2024</v>
      </c>
      <c r="B10" s="6" t="s">
        <v>37</v>
      </c>
      <c r="C10" s="7">
        <v>6850</v>
      </c>
      <c r="E10" t="s">
        <v>37</v>
      </c>
      <c r="F10" s="3">
        <v>6850</v>
      </c>
      <c r="G10" s="3">
        <v>15200</v>
      </c>
      <c r="H10" s="3">
        <v>10500</v>
      </c>
    </row>
    <row r="11" spans="1:26">
      <c r="A11" s="6">
        <v>2024</v>
      </c>
      <c r="B11" s="6" t="s">
        <v>38</v>
      </c>
      <c r="C11" s="7">
        <v>3150</v>
      </c>
      <c r="E11" t="s">
        <v>38</v>
      </c>
      <c r="F11" s="3">
        <v>3150</v>
      </c>
      <c r="G11" s="3">
        <v>9100</v>
      </c>
      <c r="H11" s="3">
        <v>8350</v>
      </c>
    </row>
    <row r="12" spans="1:26">
      <c r="A12" s="6">
        <v>2024</v>
      </c>
      <c r="B12" s="6" t="s">
        <v>39</v>
      </c>
      <c r="C12" s="7">
        <v>6100</v>
      </c>
      <c r="E12" t="s">
        <v>39</v>
      </c>
      <c r="F12" s="3">
        <v>6100</v>
      </c>
      <c r="G12" s="3">
        <v>20650</v>
      </c>
      <c r="H12" s="3">
        <v>10250</v>
      </c>
    </row>
    <row r="13" spans="1:26">
      <c r="A13" s="6">
        <v>2025</v>
      </c>
      <c r="B13" s="6" t="s">
        <v>32</v>
      </c>
      <c r="C13" s="7">
        <v>10000</v>
      </c>
    </row>
    <row r="14" spans="1:26">
      <c r="A14" s="6">
        <v>2025</v>
      </c>
      <c r="B14" s="6" t="s">
        <v>33</v>
      </c>
      <c r="C14" s="7">
        <v>13500</v>
      </c>
    </row>
    <row r="15" spans="1:26">
      <c r="A15" s="6">
        <v>2025</v>
      </c>
      <c r="B15" s="6" t="s">
        <v>34</v>
      </c>
      <c r="C15" s="7">
        <v>11000</v>
      </c>
    </row>
    <row r="16" spans="1:26">
      <c r="A16" s="6">
        <v>2025</v>
      </c>
      <c r="B16" s="6" t="s">
        <v>35</v>
      </c>
      <c r="C16" s="7">
        <v>12575</v>
      </c>
    </row>
    <row r="17" spans="1:3">
      <c r="A17" s="6">
        <v>2025</v>
      </c>
      <c r="B17" s="6" t="s">
        <v>36</v>
      </c>
      <c r="C17" s="7">
        <v>2880</v>
      </c>
    </row>
    <row r="18" spans="1:3">
      <c r="A18" s="6">
        <v>2025</v>
      </c>
      <c r="B18" s="6" t="s">
        <v>37</v>
      </c>
      <c r="C18" s="7">
        <v>15200</v>
      </c>
    </row>
    <row r="19" spans="1:3">
      <c r="A19" s="6">
        <v>2025</v>
      </c>
      <c r="B19" s="6" t="s">
        <v>38</v>
      </c>
      <c r="C19" s="7">
        <v>9100</v>
      </c>
    </row>
    <row r="20" spans="1:3">
      <c r="A20" s="6">
        <v>2025</v>
      </c>
      <c r="B20" s="6" t="s">
        <v>39</v>
      </c>
      <c r="C20" s="7">
        <v>20650</v>
      </c>
    </row>
    <row r="21" spans="1:3">
      <c r="A21" s="6">
        <v>2026</v>
      </c>
      <c r="B21" s="6" t="s">
        <v>32</v>
      </c>
      <c r="C21" s="7">
        <v>11250</v>
      </c>
    </row>
    <row r="22" spans="1:3">
      <c r="A22" s="6">
        <v>2026</v>
      </c>
      <c r="B22" s="6" t="s">
        <v>33</v>
      </c>
      <c r="C22" s="7">
        <v>13700</v>
      </c>
    </row>
    <row r="23" spans="1:3">
      <c r="A23" s="6">
        <v>2026</v>
      </c>
      <c r="B23" s="6" t="s">
        <v>34</v>
      </c>
      <c r="C23" s="7">
        <v>9250</v>
      </c>
    </row>
    <row r="24" spans="1:3">
      <c r="A24" s="6">
        <v>2026</v>
      </c>
      <c r="B24" s="6" t="s">
        <v>35</v>
      </c>
      <c r="C24" s="7">
        <v>13450</v>
      </c>
    </row>
    <row r="25" spans="1:3">
      <c r="A25" s="6">
        <v>2026</v>
      </c>
      <c r="B25" s="6" t="s">
        <v>36</v>
      </c>
      <c r="C25" s="7">
        <v>6480</v>
      </c>
    </row>
    <row r="26" spans="1:3">
      <c r="A26" s="6">
        <v>2026</v>
      </c>
      <c r="B26" s="6" t="s">
        <v>37</v>
      </c>
      <c r="C26" s="7">
        <v>10500</v>
      </c>
    </row>
    <row r="27" spans="1:3">
      <c r="A27" s="6">
        <v>2026</v>
      </c>
      <c r="B27" s="6" t="s">
        <v>38</v>
      </c>
      <c r="C27" s="7">
        <v>8350</v>
      </c>
    </row>
    <row r="28" spans="1:3">
      <c r="A28" s="6">
        <v>2026</v>
      </c>
      <c r="B28" s="6" t="s">
        <v>39</v>
      </c>
      <c r="C28" s="7">
        <v>10250</v>
      </c>
    </row>
  </sheetData>
  <mergeCells count="2">
    <mergeCell ref="A1:H1"/>
    <mergeCell ref="A2:H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"/>
  <sheetViews>
    <sheetView workbookViewId="0"/>
  </sheetViews>
  <sheetFormatPr baseColWidth="10" defaultColWidth="9" defaultRowHeight="14.25"/>
  <cols>
    <col min="1" max="1" width="45.375" customWidth="1"/>
    <col min="2" max="2" width="18.75" customWidth="1"/>
    <col min="3" max="3" width="16" customWidth="1"/>
    <col min="4" max="5" width="13" customWidth="1"/>
  </cols>
  <sheetData>
    <row r="1" spans="1:26" ht="33.950000000000003" customHeight="1">
      <c r="A1" s="12" t="s">
        <v>40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4" customHeight="1">
      <c r="A2" s="14" t="s">
        <v>41</v>
      </c>
      <c r="B2" s="15"/>
      <c r="C2" s="15"/>
      <c r="D2" s="15"/>
      <c r="E2" s="15"/>
      <c r="F2" s="15"/>
      <c r="G2" s="15"/>
      <c r="H2" s="15"/>
    </row>
    <row r="4" spans="1:26" ht="15">
      <c r="A4" s="5" t="s">
        <v>6</v>
      </c>
      <c r="B4" s="5" t="s">
        <v>28</v>
      </c>
      <c r="C4" s="5" t="s">
        <v>42</v>
      </c>
      <c r="D4" s="5" t="s">
        <v>7</v>
      </c>
      <c r="E4" s="5" t="s">
        <v>43</v>
      </c>
    </row>
    <row r="5" spans="1:26">
      <c r="A5" s="6" t="s">
        <v>23</v>
      </c>
      <c r="B5" s="6" t="s">
        <v>33</v>
      </c>
      <c r="C5" s="8">
        <v>2</v>
      </c>
      <c r="D5" s="7">
        <v>7000</v>
      </c>
      <c r="E5" s="6">
        <v>1</v>
      </c>
    </row>
    <row r="6" spans="1:26">
      <c r="A6" s="6" t="s">
        <v>23</v>
      </c>
      <c r="B6" s="6" t="s">
        <v>37</v>
      </c>
      <c r="C6" s="8">
        <v>5</v>
      </c>
      <c r="D6" s="7">
        <v>4375</v>
      </c>
      <c r="E6" s="6">
        <v>1</v>
      </c>
    </row>
    <row r="7" spans="1:26">
      <c r="A7" s="6" t="s">
        <v>23</v>
      </c>
      <c r="B7" s="6" t="s">
        <v>44</v>
      </c>
      <c r="C7" s="8">
        <v>7</v>
      </c>
      <c r="D7" s="7">
        <v>11375</v>
      </c>
      <c r="E7" s="6">
        <v>2</v>
      </c>
    </row>
    <row r="8" spans="1:26">
      <c r="A8" s="6" t="s">
        <v>16</v>
      </c>
      <c r="B8" s="6" t="s">
        <v>34</v>
      </c>
      <c r="C8" s="8">
        <v>2</v>
      </c>
      <c r="D8" s="7">
        <v>3700</v>
      </c>
      <c r="E8" s="6">
        <v>1</v>
      </c>
    </row>
    <row r="9" spans="1:26">
      <c r="A9" s="6" t="s">
        <v>16</v>
      </c>
      <c r="B9" s="6" t="s">
        <v>38</v>
      </c>
      <c r="C9" s="8">
        <v>7</v>
      </c>
      <c r="D9" s="7">
        <v>4450</v>
      </c>
      <c r="E9" s="6">
        <v>1</v>
      </c>
    </row>
    <row r="10" spans="1:26">
      <c r="A10" s="6" t="s">
        <v>16</v>
      </c>
      <c r="B10" s="6" t="s">
        <v>44</v>
      </c>
      <c r="C10" s="8">
        <v>9</v>
      </c>
      <c r="D10" s="7">
        <v>8150</v>
      </c>
      <c r="E10" s="6">
        <v>2</v>
      </c>
    </row>
    <row r="11" spans="1:26">
      <c r="A11" s="6" t="s">
        <v>15</v>
      </c>
      <c r="B11" s="6" t="s">
        <v>34</v>
      </c>
      <c r="C11" s="8">
        <v>3</v>
      </c>
      <c r="D11" s="7">
        <v>5550</v>
      </c>
      <c r="E11" s="6">
        <v>1</v>
      </c>
    </row>
    <row r="12" spans="1:26">
      <c r="A12" s="6" t="s">
        <v>15</v>
      </c>
      <c r="B12" s="6" t="s">
        <v>38</v>
      </c>
      <c r="C12" s="8">
        <v>6</v>
      </c>
      <c r="D12" s="7">
        <v>3900</v>
      </c>
      <c r="E12" s="6">
        <v>1</v>
      </c>
    </row>
    <row r="13" spans="1:26">
      <c r="A13" s="6" t="s">
        <v>15</v>
      </c>
      <c r="B13" s="6" t="s">
        <v>44</v>
      </c>
      <c r="C13" s="8">
        <v>9</v>
      </c>
      <c r="D13" s="7">
        <v>9450</v>
      </c>
      <c r="E13" s="6">
        <v>2</v>
      </c>
    </row>
    <row r="14" spans="1:26">
      <c r="A14" s="6" t="s">
        <v>13</v>
      </c>
      <c r="B14" s="6" t="s">
        <v>35</v>
      </c>
      <c r="C14" s="8">
        <v>8</v>
      </c>
      <c r="D14" s="7">
        <v>7600</v>
      </c>
      <c r="E14" s="6">
        <v>1</v>
      </c>
    </row>
    <row r="15" spans="1:26">
      <c r="A15" s="6" t="s">
        <v>13</v>
      </c>
      <c r="B15" s="6" t="s">
        <v>36</v>
      </c>
      <c r="C15" s="8">
        <v>5</v>
      </c>
      <c r="D15" s="7">
        <v>3600</v>
      </c>
      <c r="E15" s="6">
        <v>1</v>
      </c>
    </row>
    <row r="16" spans="1:26">
      <c r="A16" s="6" t="s">
        <v>13</v>
      </c>
      <c r="B16" s="6" t="s">
        <v>44</v>
      </c>
      <c r="C16" s="8">
        <v>13</v>
      </c>
      <c r="D16" s="7">
        <v>11200</v>
      </c>
      <c r="E16" s="6">
        <v>2</v>
      </c>
    </row>
    <row r="17" spans="1:5">
      <c r="A17" s="6" t="s">
        <v>22</v>
      </c>
      <c r="B17" s="6" t="s">
        <v>35</v>
      </c>
      <c r="C17" s="8">
        <v>6</v>
      </c>
      <c r="D17" s="7">
        <v>5850</v>
      </c>
      <c r="E17" s="6">
        <v>1</v>
      </c>
    </row>
    <row r="18" spans="1:5">
      <c r="A18" s="6" t="s">
        <v>22</v>
      </c>
      <c r="B18" s="6" t="s">
        <v>36</v>
      </c>
      <c r="C18" s="8">
        <v>4</v>
      </c>
      <c r="D18" s="7">
        <v>2880</v>
      </c>
      <c r="E18" s="6">
        <v>1</v>
      </c>
    </row>
    <row r="19" spans="1:5">
      <c r="A19" s="6" t="s">
        <v>22</v>
      </c>
      <c r="B19" s="6" t="s">
        <v>44</v>
      </c>
      <c r="C19" s="8">
        <v>10</v>
      </c>
      <c r="D19" s="7">
        <v>8730</v>
      </c>
      <c r="E19" s="6">
        <v>2</v>
      </c>
    </row>
    <row r="20" spans="1:5">
      <c r="A20" s="6" t="s">
        <v>21</v>
      </c>
      <c r="B20" s="6" t="s">
        <v>32</v>
      </c>
      <c r="C20" s="8">
        <v>4</v>
      </c>
      <c r="D20" s="7">
        <v>5000</v>
      </c>
      <c r="E20" s="6">
        <v>1</v>
      </c>
    </row>
    <row r="21" spans="1:5">
      <c r="A21" s="6" t="s">
        <v>21</v>
      </c>
      <c r="B21" s="6" t="s">
        <v>39</v>
      </c>
      <c r="C21" s="8">
        <v>3</v>
      </c>
      <c r="D21" s="7">
        <v>6150</v>
      </c>
      <c r="E21" s="6">
        <v>1</v>
      </c>
    </row>
    <row r="22" spans="1:5">
      <c r="A22" s="6" t="s">
        <v>21</v>
      </c>
      <c r="B22" s="6" t="s">
        <v>44</v>
      </c>
      <c r="C22" s="8">
        <v>7</v>
      </c>
      <c r="D22" s="7">
        <v>11150</v>
      </c>
      <c r="E22" s="6">
        <v>2</v>
      </c>
    </row>
    <row r="23" spans="1:5">
      <c r="A23" s="6" t="s">
        <v>11</v>
      </c>
      <c r="B23" s="6" t="s">
        <v>37</v>
      </c>
      <c r="C23" s="8">
        <v>7</v>
      </c>
      <c r="D23" s="7">
        <v>6125</v>
      </c>
      <c r="E23" s="6">
        <v>1</v>
      </c>
    </row>
    <row r="24" spans="1:5">
      <c r="A24" s="6" t="s">
        <v>11</v>
      </c>
      <c r="B24" s="6" t="s">
        <v>39</v>
      </c>
      <c r="C24" s="8">
        <v>2</v>
      </c>
      <c r="D24" s="7">
        <v>4100</v>
      </c>
      <c r="E24" s="6">
        <v>1</v>
      </c>
    </row>
    <row r="25" spans="1:5">
      <c r="A25" s="6" t="s">
        <v>11</v>
      </c>
      <c r="B25" s="6" t="s">
        <v>44</v>
      </c>
      <c r="C25" s="8">
        <v>9</v>
      </c>
      <c r="D25" s="7">
        <v>10225</v>
      </c>
      <c r="E25" s="6">
        <v>2</v>
      </c>
    </row>
    <row r="26" spans="1:5">
      <c r="A26" s="6" t="s">
        <v>9</v>
      </c>
      <c r="B26" s="6" t="s">
        <v>32</v>
      </c>
      <c r="C26" s="8">
        <v>5</v>
      </c>
      <c r="D26" s="7">
        <v>6250</v>
      </c>
      <c r="E26" s="6">
        <v>1</v>
      </c>
    </row>
    <row r="27" spans="1:5">
      <c r="A27" s="6" t="s">
        <v>9</v>
      </c>
      <c r="B27" s="6" t="s">
        <v>33</v>
      </c>
      <c r="C27" s="8">
        <v>2</v>
      </c>
      <c r="D27" s="7">
        <v>6700</v>
      </c>
      <c r="E27" s="6">
        <v>1</v>
      </c>
    </row>
    <row r="28" spans="1:5">
      <c r="A28" s="6" t="s">
        <v>9</v>
      </c>
      <c r="B28" s="6" t="s">
        <v>44</v>
      </c>
      <c r="C28" s="8">
        <v>7</v>
      </c>
      <c r="D28" s="7">
        <v>12950</v>
      </c>
      <c r="E28" s="6">
        <v>2</v>
      </c>
    </row>
    <row r="29" spans="1:5">
      <c r="A29" s="6" t="s">
        <v>45</v>
      </c>
      <c r="B29" s="6" t="s">
        <v>46</v>
      </c>
      <c r="C29" s="8">
        <v>71</v>
      </c>
      <c r="D29" s="7">
        <v>83230</v>
      </c>
      <c r="E29" s="6">
        <v>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8"/>
  <sheetViews>
    <sheetView workbookViewId="0"/>
  </sheetViews>
  <sheetFormatPr baseColWidth="10" defaultColWidth="9" defaultRowHeight="14.25"/>
  <cols>
    <col min="1" max="1" width="41.125" customWidth="1"/>
    <col min="2" max="2" width="9.125" customWidth="1"/>
    <col min="3" max="3" width="6.625" customWidth="1"/>
    <col min="4" max="4" width="6.375" customWidth="1"/>
    <col min="5" max="5" width="19.25" customWidth="1"/>
    <col min="6" max="6" width="16.625" customWidth="1"/>
    <col min="7" max="7" width="12" customWidth="1"/>
    <col min="8" max="8" width="19.625" customWidth="1"/>
    <col min="9" max="9" width="11.625" customWidth="1"/>
    <col min="10" max="10" width="11.5" customWidth="1"/>
    <col min="11" max="11" width="16.25" customWidth="1"/>
    <col min="12" max="12" width="10.25" customWidth="1"/>
    <col min="13" max="13" width="9.875" customWidth="1"/>
    <col min="14" max="14" width="14" customWidth="1"/>
    <col min="15" max="16" width="11.125" customWidth="1"/>
  </cols>
  <sheetData>
    <row r="1" spans="1:26" ht="33.950000000000003" customHeight="1">
      <c r="A1" s="12" t="s">
        <v>47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4" customHeight="1">
      <c r="A2" s="14" t="s">
        <v>48</v>
      </c>
      <c r="B2" s="15"/>
      <c r="C2" s="15"/>
      <c r="D2" s="15"/>
      <c r="E2" s="15"/>
      <c r="F2" s="15"/>
      <c r="G2" s="15"/>
      <c r="H2" s="15"/>
    </row>
    <row r="4" spans="1:26" ht="15">
      <c r="A4" s="1" t="s">
        <v>49</v>
      </c>
      <c r="B4" s="1" t="s">
        <v>50</v>
      </c>
      <c r="C4" s="1" t="s">
        <v>26</v>
      </c>
      <c r="D4" s="1" t="s">
        <v>51</v>
      </c>
      <c r="E4" s="1" t="s">
        <v>20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27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</row>
    <row r="5" spans="1:26">
      <c r="A5" t="s">
        <v>62</v>
      </c>
      <c r="B5" s="2">
        <v>45306</v>
      </c>
      <c r="C5">
        <v>2024</v>
      </c>
      <c r="D5">
        <v>1</v>
      </c>
      <c r="E5" t="s">
        <v>9</v>
      </c>
      <c r="F5" t="s">
        <v>9</v>
      </c>
      <c r="G5" t="s">
        <v>63</v>
      </c>
      <c r="H5" t="s">
        <v>64</v>
      </c>
      <c r="I5" t="s">
        <v>65</v>
      </c>
      <c r="J5">
        <v>1</v>
      </c>
      <c r="K5" t="s">
        <v>32</v>
      </c>
      <c r="L5" t="s">
        <v>66</v>
      </c>
      <c r="M5" s="4">
        <v>4</v>
      </c>
      <c r="N5" s="3">
        <v>1250</v>
      </c>
      <c r="O5" s="3">
        <v>0</v>
      </c>
      <c r="P5" s="3">
        <v>5000</v>
      </c>
    </row>
    <row r="6" spans="1:26">
      <c r="A6" t="s">
        <v>62</v>
      </c>
      <c r="B6" s="2">
        <v>45306</v>
      </c>
      <c r="C6">
        <v>2024</v>
      </c>
      <c r="D6">
        <v>1</v>
      </c>
      <c r="E6" t="s">
        <v>9</v>
      </c>
      <c r="F6" t="s">
        <v>9</v>
      </c>
      <c r="G6" t="s">
        <v>63</v>
      </c>
      <c r="H6" t="s">
        <v>64</v>
      </c>
      <c r="I6" t="s">
        <v>65</v>
      </c>
      <c r="J6">
        <v>2</v>
      </c>
      <c r="K6" t="s">
        <v>37</v>
      </c>
      <c r="L6" t="s">
        <v>67</v>
      </c>
      <c r="M6" s="4">
        <v>2</v>
      </c>
      <c r="N6" s="3">
        <v>875</v>
      </c>
      <c r="O6" s="3">
        <v>0</v>
      </c>
      <c r="P6" s="3">
        <v>1750</v>
      </c>
    </row>
    <row r="7" spans="1:26">
      <c r="A7" t="s">
        <v>68</v>
      </c>
      <c r="B7" s="2">
        <v>45342</v>
      </c>
      <c r="C7">
        <v>2024</v>
      </c>
      <c r="D7">
        <v>2</v>
      </c>
      <c r="E7" t="s">
        <v>11</v>
      </c>
      <c r="F7" t="s">
        <v>11</v>
      </c>
      <c r="G7" t="s">
        <v>69</v>
      </c>
      <c r="H7" t="s">
        <v>70</v>
      </c>
      <c r="I7" t="s">
        <v>71</v>
      </c>
      <c r="J7">
        <v>3</v>
      </c>
      <c r="K7" t="s">
        <v>38</v>
      </c>
      <c r="L7" t="s">
        <v>72</v>
      </c>
      <c r="M7" s="4">
        <v>5</v>
      </c>
      <c r="N7" s="3">
        <v>650</v>
      </c>
      <c r="O7" s="3">
        <v>100</v>
      </c>
      <c r="P7" s="3">
        <v>3150</v>
      </c>
    </row>
    <row r="8" spans="1:26">
      <c r="A8" t="s">
        <v>68</v>
      </c>
      <c r="B8" s="2">
        <v>45342</v>
      </c>
      <c r="C8">
        <v>2024</v>
      </c>
      <c r="D8">
        <v>2</v>
      </c>
      <c r="E8" t="s">
        <v>11</v>
      </c>
      <c r="F8" t="s">
        <v>11</v>
      </c>
      <c r="G8" t="s">
        <v>69</v>
      </c>
      <c r="H8" t="s">
        <v>70</v>
      </c>
      <c r="I8" t="s">
        <v>71</v>
      </c>
      <c r="J8">
        <v>4</v>
      </c>
      <c r="K8" t="s">
        <v>39</v>
      </c>
      <c r="L8" t="s">
        <v>73</v>
      </c>
      <c r="M8" s="4">
        <v>1</v>
      </c>
      <c r="N8" s="3">
        <v>2100</v>
      </c>
      <c r="O8" s="3">
        <v>0</v>
      </c>
      <c r="P8" s="3">
        <v>2100</v>
      </c>
    </row>
    <row r="9" spans="1:26">
      <c r="A9" t="s">
        <v>74</v>
      </c>
      <c r="B9" s="2">
        <v>45363</v>
      </c>
      <c r="C9">
        <v>2024</v>
      </c>
      <c r="D9">
        <v>3</v>
      </c>
      <c r="E9" t="s">
        <v>15</v>
      </c>
      <c r="F9" t="s">
        <v>15</v>
      </c>
      <c r="G9" t="s">
        <v>75</v>
      </c>
      <c r="H9" t="s">
        <v>76</v>
      </c>
      <c r="I9" t="s">
        <v>71</v>
      </c>
      <c r="J9">
        <v>100</v>
      </c>
      <c r="K9" t="s">
        <v>33</v>
      </c>
      <c r="L9" t="s">
        <v>77</v>
      </c>
      <c r="M9" s="4">
        <v>2</v>
      </c>
      <c r="N9" s="3">
        <v>3500</v>
      </c>
      <c r="O9" s="3">
        <v>250</v>
      </c>
      <c r="P9" s="3">
        <v>6750</v>
      </c>
    </row>
    <row r="10" spans="1:26">
      <c r="A10" t="s">
        <v>74</v>
      </c>
      <c r="B10" s="2">
        <v>45363</v>
      </c>
      <c r="C10">
        <v>2024</v>
      </c>
      <c r="D10">
        <v>3</v>
      </c>
      <c r="E10" t="s">
        <v>15</v>
      </c>
      <c r="F10" t="s">
        <v>15</v>
      </c>
      <c r="G10" t="s">
        <v>75</v>
      </c>
      <c r="H10" t="s">
        <v>76</v>
      </c>
      <c r="I10" t="s">
        <v>71</v>
      </c>
      <c r="J10">
        <v>1</v>
      </c>
      <c r="K10" t="s">
        <v>32</v>
      </c>
      <c r="L10" t="s">
        <v>66</v>
      </c>
      <c r="M10" s="4">
        <v>3</v>
      </c>
      <c r="N10" s="3">
        <v>1250</v>
      </c>
      <c r="O10" s="3">
        <v>0</v>
      </c>
      <c r="P10" s="3">
        <v>3750</v>
      </c>
    </row>
    <row r="11" spans="1:26">
      <c r="A11" t="s">
        <v>78</v>
      </c>
      <c r="B11" s="2">
        <v>45448</v>
      </c>
      <c r="C11">
        <v>2024</v>
      </c>
      <c r="D11">
        <v>6</v>
      </c>
      <c r="E11" t="s">
        <v>13</v>
      </c>
      <c r="F11" t="s">
        <v>13</v>
      </c>
      <c r="G11" t="s">
        <v>69</v>
      </c>
      <c r="H11" t="s">
        <v>79</v>
      </c>
      <c r="I11" t="s">
        <v>80</v>
      </c>
      <c r="J11">
        <v>2</v>
      </c>
      <c r="K11" t="s">
        <v>37</v>
      </c>
      <c r="L11" t="s">
        <v>67</v>
      </c>
      <c r="M11" s="4">
        <v>6</v>
      </c>
      <c r="N11" s="3">
        <v>875</v>
      </c>
      <c r="O11" s="3">
        <v>150</v>
      </c>
      <c r="P11" s="3">
        <v>5100</v>
      </c>
    </row>
    <row r="12" spans="1:26">
      <c r="A12" t="s">
        <v>78</v>
      </c>
      <c r="B12" s="2">
        <v>45448</v>
      </c>
      <c r="C12">
        <v>2024</v>
      </c>
      <c r="D12">
        <v>6</v>
      </c>
      <c r="E12" t="s">
        <v>13</v>
      </c>
      <c r="F12" t="s">
        <v>13</v>
      </c>
      <c r="G12" t="s">
        <v>69</v>
      </c>
      <c r="H12" t="s">
        <v>79</v>
      </c>
      <c r="I12" t="s">
        <v>80</v>
      </c>
      <c r="J12">
        <v>101</v>
      </c>
      <c r="K12" t="s">
        <v>34</v>
      </c>
      <c r="L12" t="s">
        <v>66</v>
      </c>
      <c r="M12" s="4">
        <v>2</v>
      </c>
      <c r="N12" s="3">
        <v>1850</v>
      </c>
      <c r="O12" s="3">
        <v>0</v>
      </c>
      <c r="P12" s="3">
        <v>3700</v>
      </c>
    </row>
    <row r="13" spans="1:26">
      <c r="A13" t="s">
        <v>81</v>
      </c>
      <c r="B13" s="2">
        <v>45553</v>
      </c>
      <c r="C13">
        <v>2024</v>
      </c>
      <c r="D13">
        <v>9</v>
      </c>
      <c r="E13" t="s">
        <v>21</v>
      </c>
      <c r="F13" t="s">
        <v>21</v>
      </c>
      <c r="G13" t="s">
        <v>82</v>
      </c>
      <c r="H13" t="s">
        <v>83</v>
      </c>
      <c r="I13" t="s">
        <v>84</v>
      </c>
      <c r="J13">
        <v>102</v>
      </c>
      <c r="K13" t="s">
        <v>35</v>
      </c>
      <c r="L13" t="s">
        <v>67</v>
      </c>
      <c r="M13" s="4">
        <v>4</v>
      </c>
      <c r="N13" s="3">
        <v>975</v>
      </c>
      <c r="O13" s="3">
        <v>0</v>
      </c>
      <c r="P13" s="3">
        <v>3900</v>
      </c>
    </row>
    <row r="14" spans="1:26">
      <c r="A14" t="s">
        <v>81</v>
      </c>
      <c r="B14" s="2">
        <v>45553</v>
      </c>
      <c r="C14">
        <v>2024</v>
      </c>
      <c r="D14">
        <v>9</v>
      </c>
      <c r="E14" t="s">
        <v>21</v>
      </c>
      <c r="F14" t="s">
        <v>21</v>
      </c>
      <c r="G14" t="s">
        <v>82</v>
      </c>
      <c r="H14" t="s">
        <v>83</v>
      </c>
      <c r="I14" t="s">
        <v>84</v>
      </c>
      <c r="J14">
        <v>4</v>
      </c>
      <c r="K14" t="s">
        <v>39</v>
      </c>
      <c r="L14" t="s">
        <v>73</v>
      </c>
      <c r="M14" s="4">
        <v>2</v>
      </c>
      <c r="N14" s="3">
        <v>2100</v>
      </c>
      <c r="O14" s="3">
        <v>200</v>
      </c>
      <c r="P14" s="3">
        <v>4000</v>
      </c>
    </row>
    <row r="15" spans="1:26">
      <c r="A15" t="s">
        <v>85</v>
      </c>
      <c r="B15" s="2">
        <v>45633</v>
      </c>
      <c r="C15">
        <v>2024</v>
      </c>
      <c r="D15">
        <v>12</v>
      </c>
      <c r="E15" t="s">
        <v>23</v>
      </c>
      <c r="F15" t="s">
        <v>23</v>
      </c>
      <c r="G15" t="s">
        <v>86</v>
      </c>
      <c r="H15" t="s">
        <v>87</v>
      </c>
      <c r="I15" t="s">
        <v>65</v>
      </c>
      <c r="J15">
        <v>103</v>
      </c>
      <c r="K15" t="s">
        <v>36</v>
      </c>
      <c r="L15" t="s">
        <v>72</v>
      </c>
      <c r="M15" s="4">
        <v>3</v>
      </c>
      <c r="N15" s="3">
        <v>720</v>
      </c>
      <c r="O15" s="3">
        <v>0</v>
      </c>
      <c r="P15" s="3">
        <v>2160</v>
      </c>
    </row>
    <row r="16" spans="1:26">
      <c r="A16" t="s">
        <v>85</v>
      </c>
      <c r="B16" s="2">
        <v>45633</v>
      </c>
      <c r="C16">
        <v>2024</v>
      </c>
      <c r="D16">
        <v>12</v>
      </c>
      <c r="E16" t="s">
        <v>23</v>
      </c>
      <c r="F16" t="s">
        <v>23</v>
      </c>
      <c r="G16" t="s">
        <v>86</v>
      </c>
      <c r="H16" t="s">
        <v>87</v>
      </c>
      <c r="I16" t="s">
        <v>65</v>
      </c>
      <c r="J16">
        <v>100</v>
      </c>
      <c r="K16" t="s">
        <v>33</v>
      </c>
      <c r="L16" t="s">
        <v>77</v>
      </c>
      <c r="M16" s="4">
        <v>1</v>
      </c>
      <c r="N16" s="3">
        <v>3500</v>
      </c>
      <c r="O16" s="3">
        <v>0</v>
      </c>
      <c r="P16" s="3">
        <v>3500</v>
      </c>
    </row>
    <row r="17" spans="1:16">
      <c r="A17" t="s">
        <v>88</v>
      </c>
      <c r="B17" s="2">
        <v>45667</v>
      </c>
      <c r="C17">
        <v>2025</v>
      </c>
      <c r="D17">
        <v>1</v>
      </c>
      <c r="E17" t="s">
        <v>9</v>
      </c>
      <c r="F17" t="s">
        <v>9</v>
      </c>
      <c r="G17" t="s">
        <v>63</v>
      </c>
      <c r="H17" t="s">
        <v>64</v>
      </c>
      <c r="I17" t="s">
        <v>65</v>
      </c>
      <c r="J17">
        <v>1</v>
      </c>
      <c r="K17" t="s">
        <v>32</v>
      </c>
      <c r="L17" t="s">
        <v>66</v>
      </c>
      <c r="M17" s="4">
        <v>6</v>
      </c>
      <c r="N17" s="3">
        <v>1250</v>
      </c>
      <c r="O17" s="3">
        <v>0</v>
      </c>
      <c r="P17" s="3">
        <v>7500</v>
      </c>
    </row>
    <row r="18" spans="1:16">
      <c r="A18" t="s">
        <v>88</v>
      </c>
      <c r="B18" s="2">
        <v>45667</v>
      </c>
      <c r="C18">
        <v>2025</v>
      </c>
      <c r="D18">
        <v>1</v>
      </c>
      <c r="E18" t="s">
        <v>9</v>
      </c>
      <c r="F18" t="s">
        <v>9</v>
      </c>
      <c r="G18" t="s">
        <v>63</v>
      </c>
      <c r="H18" t="s">
        <v>64</v>
      </c>
      <c r="I18" t="s">
        <v>65</v>
      </c>
      <c r="J18">
        <v>4</v>
      </c>
      <c r="K18" t="s">
        <v>39</v>
      </c>
      <c r="L18" t="s">
        <v>73</v>
      </c>
      <c r="M18" s="4">
        <v>2</v>
      </c>
      <c r="N18" s="3">
        <v>2100</v>
      </c>
      <c r="O18" s="3">
        <v>0</v>
      </c>
      <c r="P18" s="3">
        <v>4200</v>
      </c>
    </row>
    <row r="19" spans="1:16">
      <c r="A19" t="s">
        <v>89</v>
      </c>
      <c r="B19" s="2">
        <v>45702</v>
      </c>
      <c r="C19">
        <v>2025</v>
      </c>
      <c r="D19">
        <v>2</v>
      </c>
      <c r="E19" t="s">
        <v>11</v>
      </c>
      <c r="F19" t="s">
        <v>11</v>
      </c>
      <c r="G19" t="s">
        <v>69</v>
      </c>
      <c r="H19" t="s">
        <v>70</v>
      </c>
      <c r="I19" t="s">
        <v>71</v>
      </c>
      <c r="J19">
        <v>2</v>
      </c>
      <c r="K19" t="s">
        <v>37</v>
      </c>
      <c r="L19" t="s">
        <v>67</v>
      </c>
      <c r="M19" s="4">
        <v>8</v>
      </c>
      <c r="N19" s="3">
        <v>875</v>
      </c>
      <c r="O19" s="3">
        <v>300</v>
      </c>
      <c r="P19" s="3">
        <v>6700</v>
      </c>
    </row>
    <row r="20" spans="1:16">
      <c r="A20" t="s">
        <v>89</v>
      </c>
      <c r="B20" s="2">
        <v>45702</v>
      </c>
      <c r="C20">
        <v>2025</v>
      </c>
      <c r="D20">
        <v>2</v>
      </c>
      <c r="E20" t="s">
        <v>11</v>
      </c>
      <c r="F20" t="s">
        <v>11</v>
      </c>
      <c r="G20" t="s">
        <v>69</v>
      </c>
      <c r="H20" t="s">
        <v>70</v>
      </c>
      <c r="I20" t="s">
        <v>71</v>
      </c>
      <c r="J20">
        <v>3</v>
      </c>
      <c r="K20" t="s">
        <v>38</v>
      </c>
      <c r="L20" t="s">
        <v>72</v>
      </c>
      <c r="M20" s="4">
        <v>5</v>
      </c>
      <c r="N20" s="3">
        <v>650</v>
      </c>
      <c r="O20" s="3">
        <v>0</v>
      </c>
      <c r="P20" s="3">
        <v>3250</v>
      </c>
    </row>
    <row r="21" spans="1:16">
      <c r="A21" t="s">
        <v>90</v>
      </c>
      <c r="B21" s="2">
        <v>45769</v>
      </c>
      <c r="C21">
        <v>2025</v>
      </c>
      <c r="D21">
        <v>4</v>
      </c>
      <c r="E21" t="s">
        <v>16</v>
      </c>
      <c r="F21" t="s">
        <v>91</v>
      </c>
      <c r="G21" t="s">
        <v>75</v>
      </c>
      <c r="H21" t="s">
        <v>76</v>
      </c>
      <c r="I21" t="s">
        <v>71</v>
      </c>
      <c r="J21">
        <v>100</v>
      </c>
      <c r="K21" t="s">
        <v>33</v>
      </c>
      <c r="L21" t="s">
        <v>77</v>
      </c>
      <c r="M21" s="4">
        <v>3</v>
      </c>
      <c r="N21" s="3">
        <v>3500</v>
      </c>
      <c r="O21" s="3">
        <v>500</v>
      </c>
      <c r="P21" s="3">
        <v>10000</v>
      </c>
    </row>
    <row r="22" spans="1:16">
      <c r="A22" t="s">
        <v>90</v>
      </c>
      <c r="B22" s="2">
        <v>45769</v>
      </c>
      <c r="C22">
        <v>2025</v>
      </c>
      <c r="D22">
        <v>4</v>
      </c>
      <c r="E22" t="s">
        <v>16</v>
      </c>
      <c r="F22" t="s">
        <v>91</v>
      </c>
      <c r="G22" t="s">
        <v>75</v>
      </c>
      <c r="H22" t="s">
        <v>76</v>
      </c>
      <c r="I22" t="s">
        <v>71</v>
      </c>
      <c r="J22">
        <v>101</v>
      </c>
      <c r="K22" t="s">
        <v>34</v>
      </c>
      <c r="L22" t="s">
        <v>66</v>
      </c>
      <c r="M22" s="4">
        <v>4</v>
      </c>
      <c r="N22" s="3">
        <v>1850</v>
      </c>
      <c r="O22" s="3">
        <v>100</v>
      </c>
      <c r="P22" s="3">
        <v>7300</v>
      </c>
    </row>
    <row r="23" spans="1:16">
      <c r="A23" t="s">
        <v>92</v>
      </c>
      <c r="B23" s="2">
        <v>45838</v>
      </c>
      <c r="C23">
        <v>2025</v>
      </c>
      <c r="D23">
        <v>6</v>
      </c>
      <c r="E23" t="s">
        <v>22</v>
      </c>
      <c r="F23" t="s">
        <v>93</v>
      </c>
      <c r="G23" t="s">
        <v>94</v>
      </c>
      <c r="H23" t="s">
        <v>95</v>
      </c>
      <c r="I23" t="s">
        <v>80</v>
      </c>
      <c r="J23">
        <v>102</v>
      </c>
      <c r="K23" t="s">
        <v>35</v>
      </c>
      <c r="L23" t="s">
        <v>67</v>
      </c>
      <c r="M23" s="4">
        <v>7</v>
      </c>
      <c r="N23" s="3">
        <v>975</v>
      </c>
      <c r="O23" s="3">
        <v>0</v>
      </c>
      <c r="P23" s="3">
        <v>6825</v>
      </c>
    </row>
    <row r="24" spans="1:16">
      <c r="A24" t="s">
        <v>92</v>
      </c>
      <c r="B24" s="2">
        <v>45838</v>
      </c>
      <c r="C24">
        <v>2025</v>
      </c>
      <c r="D24">
        <v>6</v>
      </c>
      <c r="E24" t="s">
        <v>22</v>
      </c>
      <c r="F24" t="s">
        <v>93</v>
      </c>
      <c r="G24" t="s">
        <v>94</v>
      </c>
      <c r="H24" t="s">
        <v>95</v>
      </c>
      <c r="I24" t="s">
        <v>80</v>
      </c>
      <c r="J24">
        <v>103</v>
      </c>
      <c r="K24" t="s">
        <v>36</v>
      </c>
      <c r="L24" t="s">
        <v>72</v>
      </c>
      <c r="M24" s="4">
        <v>4</v>
      </c>
      <c r="N24" s="3">
        <v>720</v>
      </c>
      <c r="O24" s="3">
        <v>0</v>
      </c>
      <c r="P24" s="3">
        <v>2880</v>
      </c>
    </row>
    <row r="25" spans="1:16">
      <c r="A25" t="s">
        <v>96</v>
      </c>
      <c r="B25" s="2">
        <v>45885</v>
      </c>
      <c r="C25">
        <v>2025</v>
      </c>
      <c r="D25">
        <v>8</v>
      </c>
      <c r="E25" t="s">
        <v>13</v>
      </c>
      <c r="F25" t="s">
        <v>13</v>
      </c>
      <c r="G25" t="s">
        <v>69</v>
      </c>
      <c r="H25" t="s">
        <v>97</v>
      </c>
      <c r="I25" t="s">
        <v>84</v>
      </c>
      <c r="J25">
        <v>4</v>
      </c>
      <c r="K25" t="s">
        <v>39</v>
      </c>
      <c r="L25" t="s">
        <v>73</v>
      </c>
      <c r="M25" s="4">
        <v>5</v>
      </c>
      <c r="N25" s="3">
        <v>2100</v>
      </c>
      <c r="O25" s="3">
        <v>350</v>
      </c>
      <c r="P25" s="3">
        <v>10150</v>
      </c>
    </row>
    <row r="26" spans="1:16">
      <c r="A26" t="s">
        <v>96</v>
      </c>
      <c r="B26" s="2">
        <v>45885</v>
      </c>
      <c r="C26">
        <v>2025</v>
      </c>
      <c r="D26">
        <v>8</v>
      </c>
      <c r="E26" t="s">
        <v>13</v>
      </c>
      <c r="F26" t="s">
        <v>13</v>
      </c>
      <c r="G26" t="s">
        <v>69</v>
      </c>
      <c r="H26" t="s">
        <v>97</v>
      </c>
      <c r="I26" t="s">
        <v>84</v>
      </c>
      <c r="J26">
        <v>1</v>
      </c>
      <c r="K26" t="s">
        <v>32</v>
      </c>
      <c r="L26" t="s">
        <v>66</v>
      </c>
      <c r="M26" s="4">
        <v>2</v>
      </c>
      <c r="N26" s="3">
        <v>1250</v>
      </c>
      <c r="O26" s="3">
        <v>0</v>
      </c>
      <c r="P26" s="3">
        <v>2500</v>
      </c>
    </row>
    <row r="27" spans="1:16">
      <c r="A27" t="s">
        <v>98</v>
      </c>
      <c r="B27" s="2">
        <v>45939</v>
      </c>
      <c r="C27">
        <v>2025</v>
      </c>
      <c r="D27">
        <v>10</v>
      </c>
      <c r="E27" t="s">
        <v>15</v>
      </c>
      <c r="F27" t="s">
        <v>15</v>
      </c>
      <c r="G27" t="s">
        <v>75</v>
      </c>
      <c r="H27" t="s">
        <v>87</v>
      </c>
      <c r="I27" t="s">
        <v>65</v>
      </c>
      <c r="J27">
        <v>2</v>
      </c>
      <c r="K27" t="s">
        <v>37</v>
      </c>
      <c r="L27" t="s">
        <v>67</v>
      </c>
      <c r="M27" s="4">
        <v>10</v>
      </c>
      <c r="N27" s="3">
        <v>875</v>
      </c>
      <c r="O27" s="3">
        <v>250</v>
      </c>
      <c r="P27" s="3">
        <v>8500</v>
      </c>
    </row>
    <row r="28" spans="1:16">
      <c r="A28" t="s">
        <v>98</v>
      </c>
      <c r="B28" s="2">
        <v>45939</v>
      </c>
      <c r="C28">
        <v>2025</v>
      </c>
      <c r="D28">
        <v>10</v>
      </c>
      <c r="E28" t="s">
        <v>15</v>
      </c>
      <c r="F28" t="s">
        <v>15</v>
      </c>
      <c r="G28" t="s">
        <v>75</v>
      </c>
      <c r="H28" t="s">
        <v>87</v>
      </c>
      <c r="I28" t="s">
        <v>65</v>
      </c>
      <c r="J28">
        <v>100</v>
      </c>
      <c r="K28" t="s">
        <v>33</v>
      </c>
      <c r="L28" t="s">
        <v>77</v>
      </c>
      <c r="M28" s="4">
        <v>1</v>
      </c>
      <c r="N28" s="3">
        <v>3500</v>
      </c>
      <c r="O28" s="3">
        <v>0</v>
      </c>
      <c r="P28" s="3">
        <v>3500</v>
      </c>
    </row>
    <row r="29" spans="1:16">
      <c r="A29" t="s">
        <v>99</v>
      </c>
      <c r="B29" s="2">
        <v>45989</v>
      </c>
      <c r="C29">
        <v>2025</v>
      </c>
      <c r="D29">
        <v>11</v>
      </c>
      <c r="E29" t="s">
        <v>9</v>
      </c>
      <c r="F29" t="s">
        <v>9</v>
      </c>
      <c r="G29" t="s">
        <v>63</v>
      </c>
      <c r="H29" t="s">
        <v>79</v>
      </c>
      <c r="I29" t="s">
        <v>80</v>
      </c>
      <c r="J29">
        <v>3</v>
      </c>
      <c r="K29" t="s">
        <v>38</v>
      </c>
      <c r="L29" t="s">
        <v>72</v>
      </c>
      <c r="M29" s="4">
        <v>9</v>
      </c>
      <c r="N29" s="3">
        <v>650</v>
      </c>
      <c r="O29" s="3">
        <v>0</v>
      </c>
      <c r="P29" s="3">
        <v>5850</v>
      </c>
    </row>
    <row r="30" spans="1:16">
      <c r="A30" t="s">
        <v>99</v>
      </c>
      <c r="B30" s="2">
        <v>45989</v>
      </c>
      <c r="C30">
        <v>2025</v>
      </c>
      <c r="D30">
        <v>11</v>
      </c>
      <c r="E30" t="s">
        <v>9</v>
      </c>
      <c r="F30" t="s">
        <v>9</v>
      </c>
      <c r="G30" t="s">
        <v>63</v>
      </c>
      <c r="H30" t="s">
        <v>79</v>
      </c>
      <c r="I30" t="s">
        <v>80</v>
      </c>
      <c r="J30">
        <v>101</v>
      </c>
      <c r="K30" t="s">
        <v>34</v>
      </c>
      <c r="L30" t="s">
        <v>66</v>
      </c>
      <c r="M30" s="4">
        <v>2</v>
      </c>
      <c r="N30" s="3">
        <v>1850</v>
      </c>
      <c r="O30" s="3">
        <v>0</v>
      </c>
      <c r="P30" s="3">
        <v>3700</v>
      </c>
    </row>
    <row r="31" spans="1:16">
      <c r="A31" t="s">
        <v>100</v>
      </c>
      <c r="B31" s="2">
        <v>46010</v>
      </c>
      <c r="C31">
        <v>2025</v>
      </c>
      <c r="D31">
        <v>12</v>
      </c>
      <c r="E31" t="s">
        <v>11</v>
      </c>
      <c r="F31" t="s">
        <v>11</v>
      </c>
      <c r="G31" t="s">
        <v>69</v>
      </c>
      <c r="H31" t="s">
        <v>83</v>
      </c>
      <c r="I31" t="s">
        <v>84</v>
      </c>
      <c r="J31">
        <v>102</v>
      </c>
      <c r="K31" t="s">
        <v>35</v>
      </c>
      <c r="L31" t="s">
        <v>67</v>
      </c>
      <c r="M31" s="4">
        <v>6</v>
      </c>
      <c r="N31" s="3">
        <v>975</v>
      </c>
      <c r="O31" s="3">
        <v>100</v>
      </c>
      <c r="P31" s="3">
        <v>5750</v>
      </c>
    </row>
    <row r="32" spans="1:16">
      <c r="A32" t="s">
        <v>100</v>
      </c>
      <c r="B32" s="2">
        <v>46010</v>
      </c>
      <c r="C32">
        <v>2025</v>
      </c>
      <c r="D32">
        <v>12</v>
      </c>
      <c r="E32" t="s">
        <v>11</v>
      </c>
      <c r="F32" t="s">
        <v>11</v>
      </c>
      <c r="G32" t="s">
        <v>69</v>
      </c>
      <c r="H32" t="s">
        <v>83</v>
      </c>
      <c r="I32" t="s">
        <v>84</v>
      </c>
      <c r="J32">
        <v>4</v>
      </c>
      <c r="K32" t="s">
        <v>39</v>
      </c>
      <c r="L32" t="s">
        <v>73</v>
      </c>
      <c r="M32" s="4">
        <v>3</v>
      </c>
      <c r="N32" s="3">
        <v>2100</v>
      </c>
      <c r="O32" s="3">
        <v>0</v>
      </c>
      <c r="P32" s="3">
        <v>6300</v>
      </c>
    </row>
    <row r="33" spans="1:16">
      <c r="A33" t="s">
        <v>101</v>
      </c>
      <c r="B33" s="2">
        <v>46183</v>
      </c>
      <c r="C33">
        <v>2026</v>
      </c>
      <c r="D33">
        <v>6</v>
      </c>
      <c r="E33" t="s">
        <v>9</v>
      </c>
      <c r="F33" t="s">
        <v>9</v>
      </c>
      <c r="G33" t="s">
        <v>63</v>
      </c>
      <c r="H33" t="s">
        <v>64</v>
      </c>
      <c r="I33" t="s">
        <v>65</v>
      </c>
      <c r="J33">
        <v>1</v>
      </c>
      <c r="K33" t="s">
        <v>32</v>
      </c>
      <c r="L33" t="s">
        <v>66</v>
      </c>
      <c r="M33" s="4">
        <v>5</v>
      </c>
      <c r="N33" s="3">
        <v>1250</v>
      </c>
      <c r="O33" s="3">
        <v>0</v>
      </c>
      <c r="P33" s="3">
        <v>6250</v>
      </c>
    </row>
    <row r="34" spans="1:16">
      <c r="A34" t="s">
        <v>101</v>
      </c>
      <c r="B34" s="2">
        <v>46183</v>
      </c>
      <c r="C34">
        <v>2026</v>
      </c>
      <c r="D34">
        <v>6</v>
      </c>
      <c r="E34" t="s">
        <v>9</v>
      </c>
      <c r="F34" t="s">
        <v>9</v>
      </c>
      <c r="G34" t="s">
        <v>63</v>
      </c>
      <c r="H34" t="s">
        <v>64</v>
      </c>
      <c r="I34" t="s">
        <v>65</v>
      </c>
      <c r="J34">
        <v>100</v>
      </c>
      <c r="K34" t="s">
        <v>33</v>
      </c>
      <c r="L34" t="s">
        <v>77</v>
      </c>
      <c r="M34" s="4">
        <v>2</v>
      </c>
      <c r="N34" s="3">
        <v>3500</v>
      </c>
      <c r="O34" s="3">
        <v>300</v>
      </c>
      <c r="P34" s="3">
        <v>6700</v>
      </c>
    </row>
    <row r="35" spans="1:16">
      <c r="A35" t="s">
        <v>102</v>
      </c>
      <c r="B35" s="2">
        <v>46171</v>
      </c>
      <c r="C35">
        <v>2026</v>
      </c>
      <c r="D35">
        <v>5</v>
      </c>
      <c r="E35" t="s">
        <v>11</v>
      </c>
      <c r="F35" t="s">
        <v>11</v>
      </c>
      <c r="G35" t="s">
        <v>69</v>
      </c>
      <c r="H35" t="s">
        <v>70</v>
      </c>
      <c r="I35" t="s">
        <v>71</v>
      </c>
      <c r="J35">
        <v>2</v>
      </c>
      <c r="K35" t="s">
        <v>37</v>
      </c>
      <c r="L35" t="s">
        <v>67</v>
      </c>
      <c r="M35" s="4">
        <v>7</v>
      </c>
      <c r="N35" s="3">
        <v>875</v>
      </c>
      <c r="O35" s="3">
        <v>0</v>
      </c>
      <c r="P35" s="3">
        <v>6125</v>
      </c>
    </row>
    <row r="36" spans="1:16">
      <c r="A36" t="s">
        <v>102</v>
      </c>
      <c r="B36" s="2">
        <v>46171</v>
      </c>
      <c r="C36">
        <v>2026</v>
      </c>
      <c r="D36">
        <v>5</v>
      </c>
      <c r="E36" t="s">
        <v>11</v>
      </c>
      <c r="F36" t="s">
        <v>11</v>
      </c>
      <c r="G36" t="s">
        <v>69</v>
      </c>
      <c r="H36" t="s">
        <v>70</v>
      </c>
      <c r="I36" t="s">
        <v>71</v>
      </c>
      <c r="J36">
        <v>4</v>
      </c>
      <c r="K36" t="s">
        <v>39</v>
      </c>
      <c r="L36" t="s">
        <v>73</v>
      </c>
      <c r="M36" s="4">
        <v>2</v>
      </c>
      <c r="N36" s="3">
        <v>2100</v>
      </c>
      <c r="O36" s="3">
        <v>100</v>
      </c>
      <c r="P36" s="3">
        <v>4100</v>
      </c>
    </row>
    <row r="37" spans="1:16">
      <c r="A37" t="s">
        <v>103</v>
      </c>
      <c r="B37" s="2">
        <v>46160</v>
      </c>
      <c r="C37">
        <v>2026</v>
      </c>
      <c r="D37">
        <v>5</v>
      </c>
      <c r="E37" t="s">
        <v>15</v>
      </c>
      <c r="F37" t="s">
        <v>15</v>
      </c>
      <c r="G37" t="s">
        <v>75</v>
      </c>
      <c r="H37" t="s">
        <v>76</v>
      </c>
      <c r="I37" t="s">
        <v>71</v>
      </c>
      <c r="J37">
        <v>3</v>
      </c>
      <c r="K37" t="s">
        <v>38</v>
      </c>
      <c r="L37" t="s">
        <v>72</v>
      </c>
      <c r="M37" s="4">
        <v>6</v>
      </c>
      <c r="N37" s="3">
        <v>650</v>
      </c>
      <c r="O37" s="3">
        <v>0</v>
      </c>
      <c r="P37" s="3">
        <v>3900</v>
      </c>
    </row>
    <row r="38" spans="1:16">
      <c r="A38" t="s">
        <v>103</v>
      </c>
      <c r="B38" s="2">
        <v>46160</v>
      </c>
      <c r="C38">
        <v>2026</v>
      </c>
      <c r="D38">
        <v>5</v>
      </c>
      <c r="E38" t="s">
        <v>15</v>
      </c>
      <c r="F38" t="s">
        <v>15</v>
      </c>
      <c r="G38" t="s">
        <v>75</v>
      </c>
      <c r="H38" t="s">
        <v>76</v>
      </c>
      <c r="I38" t="s">
        <v>71</v>
      </c>
      <c r="J38">
        <v>101</v>
      </c>
      <c r="K38" t="s">
        <v>34</v>
      </c>
      <c r="L38" t="s">
        <v>66</v>
      </c>
      <c r="M38" s="4">
        <v>3</v>
      </c>
      <c r="N38" s="3">
        <v>1850</v>
      </c>
      <c r="O38" s="3">
        <v>0</v>
      </c>
      <c r="P38" s="3">
        <v>5550</v>
      </c>
    </row>
    <row r="39" spans="1:16">
      <c r="A39" t="s">
        <v>104</v>
      </c>
      <c r="B39" s="2">
        <v>46147</v>
      </c>
      <c r="C39">
        <v>2026</v>
      </c>
      <c r="D39">
        <v>5</v>
      </c>
      <c r="E39" t="s">
        <v>13</v>
      </c>
      <c r="F39" t="s">
        <v>13</v>
      </c>
      <c r="G39" t="s">
        <v>69</v>
      </c>
      <c r="H39" t="s">
        <v>79</v>
      </c>
      <c r="I39" t="s">
        <v>80</v>
      </c>
      <c r="J39">
        <v>102</v>
      </c>
      <c r="K39" t="s">
        <v>35</v>
      </c>
      <c r="L39" t="s">
        <v>67</v>
      </c>
      <c r="M39" s="4">
        <v>8</v>
      </c>
      <c r="N39" s="3">
        <v>975</v>
      </c>
      <c r="O39" s="3">
        <v>200</v>
      </c>
      <c r="P39" s="3">
        <v>7600</v>
      </c>
    </row>
    <row r="40" spans="1:16">
      <c r="A40" t="s">
        <v>104</v>
      </c>
      <c r="B40" s="2">
        <v>46147</v>
      </c>
      <c r="C40">
        <v>2026</v>
      </c>
      <c r="D40">
        <v>5</v>
      </c>
      <c r="E40" t="s">
        <v>13</v>
      </c>
      <c r="F40" t="s">
        <v>13</v>
      </c>
      <c r="G40" t="s">
        <v>69</v>
      </c>
      <c r="H40" t="s">
        <v>79</v>
      </c>
      <c r="I40" t="s">
        <v>80</v>
      </c>
      <c r="J40">
        <v>103</v>
      </c>
      <c r="K40" t="s">
        <v>36</v>
      </c>
      <c r="L40" t="s">
        <v>72</v>
      </c>
      <c r="M40" s="4">
        <v>5</v>
      </c>
      <c r="N40" s="3">
        <v>720</v>
      </c>
      <c r="O40" s="3">
        <v>0</v>
      </c>
      <c r="P40" s="3">
        <v>3600</v>
      </c>
    </row>
    <row r="41" spans="1:16">
      <c r="A41" t="s">
        <v>105</v>
      </c>
      <c r="B41" s="2">
        <v>46135</v>
      </c>
      <c r="C41">
        <v>2026</v>
      </c>
      <c r="D41">
        <v>4</v>
      </c>
      <c r="E41" t="s">
        <v>21</v>
      </c>
      <c r="F41" t="s">
        <v>21</v>
      </c>
      <c r="G41" t="s">
        <v>82</v>
      </c>
      <c r="H41" t="s">
        <v>83</v>
      </c>
      <c r="I41" t="s">
        <v>84</v>
      </c>
      <c r="J41">
        <v>1</v>
      </c>
      <c r="K41" t="s">
        <v>32</v>
      </c>
      <c r="L41" t="s">
        <v>66</v>
      </c>
      <c r="M41" s="4">
        <v>4</v>
      </c>
      <c r="N41" s="3">
        <v>1250</v>
      </c>
      <c r="O41" s="3">
        <v>0</v>
      </c>
      <c r="P41" s="3">
        <v>5000</v>
      </c>
    </row>
    <row r="42" spans="1:16">
      <c r="A42" t="s">
        <v>105</v>
      </c>
      <c r="B42" s="2">
        <v>46135</v>
      </c>
      <c r="C42">
        <v>2026</v>
      </c>
      <c r="D42">
        <v>4</v>
      </c>
      <c r="E42" t="s">
        <v>21</v>
      </c>
      <c r="F42" t="s">
        <v>21</v>
      </c>
      <c r="G42" t="s">
        <v>82</v>
      </c>
      <c r="H42" t="s">
        <v>83</v>
      </c>
      <c r="I42" t="s">
        <v>84</v>
      </c>
      <c r="J42">
        <v>4</v>
      </c>
      <c r="K42" t="s">
        <v>39</v>
      </c>
      <c r="L42" t="s">
        <v>73</v>
      </c>
      <c r="M42" s="4">
        <v>3</v>
      </c>
      <c r="N42" s="3">
        <v>2100</v>
      </c>
      <c r="O42" s="3">
        <v>150</v>
      </c>
      <c r="P42" s="3">
        <v>6150</v>
      </c>
    </row>
    <row r="43" spans="1:16">
      <c r="A43" t="s">
        <v>106</v>
      </c>
      <c r="B43" s="2">
        <v>46123</v>
      </c>
      <c r="C43">
        <v>2026</v>
      </c>
      <c r="D43">
        <v>4</v>
      </c>
      <c r="E43" t="s">
        <v>23</v>
      </c>
      <c r="F43" t="s">
        <v>23</v>
      </c>
      <c r="G43" t="s">
        <v>86</v>
      </c>
      <c r="H43" t="s">
        <v>87</v>
      </c>
      <c r="I43" t="s">
        <v>65</v>
      </c>
      <c r="J43">
        <v>100</v>
      </c>
      <c r="K43" t="s">
        <v>33</v>
      </c>
      <c r="L43" t="s">
        <v>77</v>
      </c>
      <c r="M43" s="4">
        <v>2</v>
      </c>
      <c r="N43" s="3">
        <v>3500</v>
      </c>
      <c r="O43" s="3">
        <v>0</v>
      </c>
      <c r="P43" s="3">
        <v>7000</v>
      </c>
    </row>
    <row r="44" spans="1:16">
      <c r="A44" t="s">
        <v>106</v>
      </c>
      <c r="B44" s="2">
        <v>46123</v>
      </c>
      <c r="C44">
        <v>2026</v>
      </c>
      <c r="D44">
        <v>4</v>
      </c>
      <c r="E44" t="s">
        <v>23</v>
      </c>
      <c r="F44" t="s">
        <v>23</v>
      </c>
      <c r="G44" t="s">
        <v>86</v>
      </c>
      <c r="H44" t="s">
        <v>87</v>
      </c>
      <c r="I44" t="s">
        <v>65</v>
      </c>
      <c r="J44">
        <v>2</v>
      </c>
      <c r="K44" t="s">
        <v>37</v>
      </c>
      <c r="L44" t="s">
        <v>67</v>
      </c>
      <c r="M44" s="4">
        <v>5</v>
      </c>
      <c r="N44" s="3">
        <v>875</v>
      </c>
      <c r="O44" s="3">
        <v>0</v>
      </c>
      <c r="P44" s="3">
        <v>4375</v>
      </c>
    </row>
    <row r="45" spans="1:16">
      <c r="A45" t="s">
        <v>107</v>
      </c>
      <c r="B45" s="2">
        <v>46112</v>
      </c>
      <c r="C45">
        <v>2026</v>
      </c>
      <c r="D45">
        <v>3</v>
      </c>
      <c r="E45" t="s">
        <v>16</v>
      </c>
      <c r="F45" t="s">
        <v>91</v>
      </c>
      <c r="G45" t="s">
        <v>75</v>
      </c>
      <c r="H45" t="s">
        <v>95</v>
      </c>
      <c r="I45" t="s">
        <v>80</v>
      </c>
      <c r="J45">
        <v>3</v>
      </c>
      <c r="K45" t="s">
        <v>38</v>
      </c>
      <c r="L45" t="s">
        <v>72</v>
      </c>
      <c r="M45" s="4">
        <v>7</v>
      </c>
      <c r="N45" s="3">
        <v>650</v>
      </c>
      <c r="O45" s="3">
        <v>100</v>
      </c>
      <c r="P45" s="3">
        <v>4450</v>
      </c>
    </row>
    <row r="46" spans="1:16">
      <c r="A46" t="s">
        <v>107</v>
      </c>
      <c r="B46" s="2">
        <v>46112</v>
      </c>
      <c r="C46">
        <v>2026</v>
      </c>
      <c r="D46">
        <v>3</v>
      </c>
      <c r="E46" t="s">
        <v>16</v>
      </c>
      <c r="F46" t="s">
        <v>91</v>
      </c>
      <c r="G46" t="s">
        <v>75</v>
      </c>
      <c r="H46" t="s">
        <v>95</v>
      </c>
      <c r="I46" t="s">
        <v>80</v>
      </c>
      <c r="J46">
        <v>101</v>
      </c>
      <c r="K46" t="s">
        <v>34</v>
      </c>
      <c r="L46" t="s">
        <v>66</v>
      </c>
      <c r="M46" s="4">
        <v>2</v>
      </c>
      <c r="N46" s="3">
        <v>1850</v>
      </c>
      <c r="O46" s="3">
        <v>0</v>
      </c>
      <c r="P46" s="3">
        <v>3700</v>
      </c>
    </row>
    <row r="47" spans="1:16">
      <c r="A47" t="s">
        <v>108</v>
      </c>
      <c r="B47" s="2">
        <v>46104</v>
      </c>
      <c r="C47">
        <v>2026</v>
      </c>
      <c r="D47">
        <v>3</v>
      </c>
      <c r="E47" t="s">
        <v>22</v>
      </c>
      <c r="F47" t="s">
        <v>93</v>
      </c>
      <c r="G47" t="s">
        <v>94</v>
      </c>
      <c r="H47" t="s">
        <v>97</v>
      </c>
      <c r="I47" t="s">
        <v>84</v>
      </c>
      <c r="J47">
        <v>102</v>
      </c>
      <c r="K47" t="s">
        <v>35</v>
      </c>
      <c r="L47" t="s">
        <v>67</v>
      </c>
      <c r="M47" s="4">
        <v>6</v>
      </c>
      <c r="N47" s="3">
        <v>975</v>
      </c>
      <c r="O47" s="3">
        <v>0</v>
      </c>
      <c r="P47" s="3">
        <v>5850</v>
      </c>
    </row>
    <row r="48" spans="1:16">
      <c r="A48" t="s">
        <v>108</v>
      </c>
      <c r="B48" s="2">
        <v>46104</v>
      </c>
      <c r="C48">
        <v>2026</v>
      </c>
      <c r="D48">
        <v>3</v>
      </c>
      <c r="E48" t="s">
        <v>22</v>
      </c>
      <c r="F48" t="s">
        <v>93</v>
      </c>
      <c r="G48" t="s">
        <v>94</v>
      </c>
      <c r="H48" t="s">
        <v>97</v>
      </c>
      <c r="I48" t="s">
        <v>84</v>
      </c>
      <c r="J48">
        <v>103</v>
      </c>
      <c r="K48" t="s">
        <v>36</v>
      </c>
      <c r="L48" t="s">
        <v>72</v>
      </c>
      <c r="M48" s="4">
        <v>4</v>
      </c>
      <c r="N48" s="3">
        <v>720</v>
      </c>
      <c r="O48" s="3">
        <v>0</v>
      </c>
      <c r="P48" s="3">
        <v>2880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"/>
  <sheetViews>
    <sheetView workbookViewId="0"/>
  </sheetViews>
  <sheetFormatPr baseColWidth="10" defaultColWidth="9" defaultRowHeight="14.25"/>
  <cols>
    <col min="1" max="1" width="45.375" customWidth="1"/>
    <col min="2" max="2" width="48.375" customWidth="1"/>
    <col min="3" max="3" width="55" customWidth="1"/>
  </cols>
  <sheetData>
    <row r="1" spans="1:26" ht="33.950000000000003" customHeight="1">
      <c r="A1" s="12" t="s">
        <v>109</v>
      </c>
      <c r="B1" s="13"/>
      <c r="C1" s="13"/>
      <c r="D1" s="13"/>
      <c r="E1" s="13"/>
      <c r="F1" s="13"/>
      <c r="G1" s="13"/>
      <c r="H1" s="1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4" customHeight="1">
      <c r="A2" s="14" t="s">
        <v>110</v>
      </c>
      <c r="B2" s="15"/>
      <c r="C2" s="15"/>
      <c r="D2" s="15"/>
      <c r="E2" s="15"/>
      <c r="F2" s="15"/>
      <c r="G2" s="15"/>
      <c r="H2" s="15"/>
    </row>
    <row r="4" spans="1:26" ht="15">
      <c r="A4" s="5" t="s">
        <v>111</v>
      </c>
      <c r="B4" s="5" t="s">
        <v>112</v>
      </c>
      <c r="C4" s="5" t="s">
        <v>113</v>
      </c>
    </row>
    <row r="5" spans="1:26">
      <c r="A5" s="6" t="s">
        <v>114</v>
      </c>
      <c r="B5" s="6" t="s">
        <v>115</v>
      </c>
      <c r="C5" s="9" t="s">
        <v>116</v>
      </c>
    </row>
    <row r="6" spans="1:26" ht="28.5">
      <c r="A6" s="6" t="s">
        <v>117</v>
      </c>
      <c r="B6" s="6" t="s">
        <v>118</v>
      </c>
      <c r="C6" s="9" t="s">
        <v>119</v>
      </c>
    </row>
    <row r="7" spans="1:26" ht="28.5">
      <c r="A7" s="6" t="s">
        <v>120</v>
      </c>
      <c r="B7" s="6" t="s">
        <v>121</v>
      </c>
      <c r="C7" s="9" t="s">
        <v>122</v>
      </c>
    </row>
    <row r="8" spans="1:26">
      <c r="A8" s="6" t="s">
        <v>123</v>
      </c>
      <c r="B8" s="6" t="s">
        <v>124</v>
      </c>
      <c r="C8" s="9" t="s">
        <v>125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Ventas por Ciudad</vt:lpstr>
      <vt:lpstr>Producto por Año</vt:lpstr>
      <vt:lpstr>Ultimos 3 Meses</vt:lpstr>
      <vt:lpstr>Datos DW</vt:lpstr>
      <vt:lpstr>SQL Consultas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Matías Rosario, Francis Jairo</cp:lastModifiedBy>
  <dcterms:modified xsi:type="dcterms:W3CDTF">2026-09-28T22:46:24Z</dcterms:modified>
</cp:coreProperties>
</file>